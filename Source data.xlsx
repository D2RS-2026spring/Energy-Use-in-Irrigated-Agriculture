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24226"/>
  <xr:revisionPtr revIDLastSave="0" documentId="8_{49106136-B839-4E79-B3E6-74785696C0F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heet1" sheetId="1" r:id="rId1"/>
    <sheet name="Fig1a" sheetId="2" r:id="rId2"/>
    <sheet name="Fig1b" sheetId="3" r:id="rId3"/>
    <sheet name="Fig1c" sheetId="4" r:id="rId4"/>
    <sheet name="Fig1d" sheetId="5" r:id="rId5"/>
    <sheet name="Fig2a" sheetId="6" r:id="rId6"/>
    <sheet name="Fig2b" sheetId="7" r:id="rId7"/>
    <sheet name="Fig3a" sheetId="8" r:id="rId8"/>
    <sheet name="Fig3b" sheetId="9" r:id="rId9"/>
    <sheet name="Fig4a" sheetId="10" r:id="rId10"/>
    <sheet name="Fig4b" sheetId="11" r:id="rId11"/>
    <sheet name="Fig5a" sheetId="12" r:id="rId12"/>
    <sheet name="Fig5b" sheetId="13" r:id="rId13"/>
    <sheet name="Fig6a" sheetId="14" r:id="rId14"/>
    <sheet name="Fig6b" sheetId="15" r:id="rId15"/>
  </sheets>
  <definedNames>
    <definedName name="_xlnm._FilterDatabase" localSheetId="0" hidden="1">Sheet1!$A$1:$CL$201</definedName>
    <definedName name="_Hlk151127334" localSheetId="11">Fig5a!$B$1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H3" i="1" l="1"/>
  <c r="CH4" i="1"/>
  <c r="CH5" i="1"/>
  <c r="CH6" i="1"/>
  <c r="CH7" i="1"/>
  <c r="CH8" i="1"/>
  <c r="CH9" i="1"/>
  <c r="CH10" i="1"/>
  <c r="CH11" i="1"/>
  <c r="CH12" i="1"/>
  <c r="CH13" i="1"/>
  <c r="CH14" i="1"/>
  <c r="CH15" i="1"/>
  <c r="CH16" i="1"/>
  <c r="CH17" i="1"/>
  <c r="CH18" i="1"/>
  <c r="CH19" i="1"/>
  <c r="CH20" i="1"/>
  <c r="CH21" i="1"/>
  <c r="CH22" i="1"/>
  <c r="CH23" i="1"/>
  <c r="CH24" i="1"/>
  <c r="CH25" i="1"/>
  <c r="CH26" i="1"/>
  <c r="CH27" i="1"/>
  <c r="CH28" i="1"/>
  <c r="CH29" i="1"/>
  <c r="CH30" i="1"/>
  <c r="CH31" i="1"/>
  <c r="CH32" i="1"/>
  <c r="CH33" i="1"/>
  <c r="CH34" i="1"/>
  <c r="CH36" i="1"/>
  <c r="CH37" i="1"/>
  <c r="CH38" i="1"/>
  <c r="CH39" i="1"/>
  <c r="CH40" i="1"/>
  <c r="CH41" i="1"/>
  <c r="CH42" i="1"/>
  <c r="CH43" i="1"/>
  <c r="CH44" i="1"/>
  <c r="CH45" i="1"/>
  <c r="CH46" i="1"/>
  <c r="CH47" i="1"/>
  <c r="CH48" i="1"/>
  <c r="CH49" i="1"/>
  <c r="CH50" i="1"/>
  <c r="CH51" i="1"/>
  <c r="CH52" i="1"/>
  <c r="CH53" i="1"/>
  <c r="CH54" i="1"/>
  <c r="CH55" i="1"/>
  <c r="CH56" i="1"/>
  <c r="CH57" i="1"/>
  <c r="CH58" i="1"/>
  <c r="CH60" i="1"/>
  <c r="CH62" i="1"/>
  <c r="CH63" i="1"/>
  <c r="CH64" i="1"/>
  <c r="CH65" i="1"/>
  <c r="CH67" i="1"/>
  <c r="CH68" i="1"/>
  <c r="CH69" i="1"/>
  <c r="CH70" i="1"/>
  <c r="CH71" i="1"/>
  <c r="CH72" i="1"/>
  <c r="CH73" i="1"/>
  <c r="CH74" i="1"/>
  <c r="CH75" i="1"/>
  <c r="CH76" i="1"/>
  <c r="CH77" i="1"/>
  <c r="CH78" i="1"/>
  <c r="CH79" i="1"/>
  <c r="CH80" i="1"/>
  <c r="CH81" i="1"/>
  <c r="CH82" i="1"/>
  <c r="CH83" i="1"/>
  <c r="CH85" i="1"/>
  <c r="CH87" i="1"/>
  <c r="CH88" i="1"/>
  <c r="CH90" i="1"/>
  <c r="CH91" i="1"/>
  <c r="CH92" i="1"/>
  <c r="CH93" i="1"/>
  <c r="CH94" i="1"/>
  <c r="CH95" i="1"/>
  <c r="CH96" i="1"/>
  <c r="CH97" i="1"/>
  <c r="CH99" i="1"/>
  <c r="CH100" i="1"/>
  <c r="CH102" i="1"/>
  <c r="CH103" i="1"/>
  <c r="CH104" i="1"/>
  <c r="CH105" i="1"/>
  <c r="CH106" i="1"/>
  <c r="CH107" i="1"/>
  <c r="CH108" i="1"/>
  <c r="CH109" i="1"/>
  <c r="CH110" i="1"/>
  <c r="CH111" i="1"/>
  <c r="CH112" i="1"/>
  <c r="CH113" i="1"/>
  <c r="CH114" i="1"/>
  <c r="CH115" i="1"/>
  <c r="CH116" i="1"/>
  <c r="CH117" i="1"/>
  <c r="CH118" i="1"/>
  <c r="CH119" i="1"/>
  <c r="CH121" i="1"/>
  <c r="CH122" i="1"/>
  <c r="CH123" i="1"/>
  <c r="CH124" i="1"/>
  <c r="CH125" i="1"/>
  <c r="CH126" i="1"/>
  <c r="CH127" i="1"/>
  <c r="CH128" i="1"/>
  <c r="CH129" i="1"/>
  <c r="CH130" i="1"/>
  <c r="CH132" i="1"/>
  <c r="CH134" i="1"/>
  <c r="CH135" i="1"/>
  <c r="CH136" i="1"/>
  <c r="CH137" i="1"/>
  <c r="CH138" i="1"/>
  <c r="CH139" i="1"/>
  <c r="CH140" i="1"/>
  <c r="CH142" i="1"/>
  <c r="CH143" i="1"/>
  <c r="CH144" i="1"/>
  <c r="CH145" i="1"/>
  <c r="CH146" i="1"/>
  <c r="CH147" i="1"/>
  <c r="CH148" i="1"/>
  <c r="CH149" i="1"/>
  <c r="CH150" i="1"/>
  <c r="CH151" i="1"/>
  <c r="CH152" i="1"/>
  <c r="CH153" i="1"/>
  <c r="CH154" i="1"/>
  <c r="CH155" i="1"/>
  <c r="CH156" i="1"/>
  <c r="CH157" i="1"/>
  <c r="CH158" i="1"/>
  <c r="CH159" i="1"/>
  <c r="CH160" i="1"/>
  <c r="CH2" i="1"/>
  <c r="BL3" i="1"/>
  <c r="BL4" i="1"/>
  <c r="BL5" i="1"/>
  <c r="BL6" i="1"/>
  <c r="BL7" i="1"/>
  <c r="BL8" i="1"/>
  <c r="BL9" i="1"/>
  <c r="BL10" i="1"/>
  <c r="BL11" i="1"/>
  <c r="BL12" i="1"/>
  <c r="BL13" i="1"/>
  <c r="BL14" i="1"/>
  <c r="BL15" i="1"/>
  <c r="BL16" i="1"/>
  <c r="BL17" i="1"/>
  <c r="BL18" i="1"/>
  <c r="BL19" i="1"/>
  <c r="BL20" i="1"/>
  <c r="BL21" i="1"/>
  <c r="BL22" i="1"/>
  <c r="BL23" i="1"/>
  <c r="BL24" i="1"/>
  <c r="BL25" i="1"/>
  <c r="BL26" i="1"/>
  <c r="BL27" i="1"/>
  <c r="BL28" i="1"/>
  <c r="BL29" i="1"/>
  <c r="BL30" i="1"/>
  <c r="BL31" i="1"/>
  <c r="BL32" i="1"/>
  <c r="BL33" i="1"/>
  <c r="BL34" i="1"/>
  <c r="BL35" i="1"/>
  <c r="BL36" i="1"/>
  <c r="BL37" i="1"/>
  <c r="BL38" i="1"/>
  <c r="BL39" i="1"/>
  <c r="BL40" i="1"/>
  <c r="BL41" i="1"/>
  <c r="BL42" i="1"/>
  <c r="BL43" i="1"/>
  <c r="BL44" i="1"/>
  <c r="BL45" i="1"/>
  <c r="BL46" i="1"/>
  <c r="BL47" i="1"/>
  <c r="BL48" i="1"/>
  <c r="BL49" i="1"/>
  <c r="BL50" i="1"/>
  <c r="BL51" i="1"/>
  <c r="BL52" i="1"/>
  <c r="BL53" i="1"/>
  <c r="BL54" i="1"/>
  <c r="BL55" i="1"/>
  <c r="BL56" i="1"/>
  <c r="BL57" i="1"/>
  <c r="BL58" i="1"/>
  <c r="BL59" i="1"/>
  <c r="BL60" i="1"/>
  <c r="BL61" i="1"/>
  <c r="BL62" i="1"/>
  <c r="BL63" i="1"/>
  <c r="BL64" i="1"/>
  <c r="BL65" i="1"/>
  <c r="BL66" i="1"/>
  <c r="BL67" i="1"/>
  <c r="BL68" i="1"/>
  <c r="BL69" i="1"/>
  <c r="BL70" i="1"/>
  <c r="BL71" i="1"/>
  <c r="BL72" i="1"/>
  <c r="BL73" i="1"/>
  <c r="BL74" i="1"/>
  <c r="BL75" i="1"/>
  <c r="BL76" i="1"/>
  <c r="BL77" i="1"/>
  <c r="BL78" i="1"/>
  <c r="BL79" i="1"/>
  <c r="BL80" i="1"/>
  <c r="BL81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6" i="1"/>
  <c r="BL97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3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3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59" i="1"/>
  <c r="BL160" i="1"/>
  <c r="BK10" i="1"/>
  <c r="BK11" i="1"/>
  <c r="BK12" i="1"/>
  <c r="BK13" i="1"/>
  <c r="BK14" i="1"/>
  <c r="BK15" i="1"/>
  <c r="BK16" i="1"/>
  <c r="BK17" i="1"/>
  <c r="BK18" i="1"/>
  <c r="BK19" i="1"/>
  <c r="BK20" i="1"/>
  <c r="BK21" i="1"/>
  <c r="BK22" i="1"/>
  <c r="BK23" i="1"/>
  <c r="BK24" i="1"/>
  <c r="BK25" i="1"/>
  <c r="BK26" i="1"/>
  <c r="BK27" i="1"/>
  <c r="BK28" i="1"/>
  <c r="BK29" i="1"/>
  <c r="BK30" i="1"/>
  <c r="BK31" i="1"/>
  <c r="BK32" i="1"/>
  <c r="BK33" i="1"/>
  <c r="BK34" i="1"/>
  <c r="BK35" i="1"/>
  <c r="BK36" i="1"/>
  <c r="BK37" i="1"/>
  <c r="BK38" i="1"/>
  <c r="BK39" i="1"/>
  <c r="BK40" i="1"/>
  <c r="BK41" i="1"/>
  <c r="BK42" i="1"/>
  <c r="BK43" i="1"/>
  <c r="BK44" i="1"/>
  <c r="BK45" i="1"/>
  <c r="BK46" i="1"/>
  <c r="BK47" i="1"/>
  <c r="BK48" i="1"/>
  <c r="BK49" i="1"/>
  <c r="BK50" i="1"/>
  <c r="BK51" i="1"/>
  <c r="BK52" i="1"/>
  <c r="BK53" i="1"/>
  <c r="BK54" i="1"/>
  <c r="BK55" i="1"/>
  <c r="BK56" i="1"/>
  <c r="BK57" i="1"/>
  <c r="BK58" i="1"/>
  <c r="BK59" i="1"/>
  <c r="BK60" i="1"/>
  <c r="BK61" i="1"/>
  <c r="BK62" i="1"/>
  <c r="BK63" i="1"/>
  <c r="BK64" i="1"/>
  <c r="BK65" i="1"/>
  <c r="BK66" i="1"/>
  <c r="BK67" i="1"/>
  <c r="BK68" i="1"/>
  <c r="BK69" i="1"/>
  <c r="BK70" i="1"/>
  <c r="BK71" i="1"/>
  <c r="BK72" i="1"/>
  <c r="BK73" i="1"/>
  <c r="BK74" i="1"/>
  <c r="BK75" i="1"/>
  <c r="BK76" i="1"/>
  <c r="BK77" i="1"/>
  <c r="BK78" i="1"/>
  <c r="BK79" i="1"/>
  <c r="BK80" i="1"/>
  <c r="BK81" i="1"/>
  <c r="BK82" i="1"/>
  <c r="BK83" i="1"/>
  <c r="BK84" i="1"/>
  <c r="BK85" i="1"/>
  <c r="BK86" i="1"/>
  <c r="BK87" i="1"/>
  <c r="BK88" i="1"/>
  <c r="BK89" i="1"/>
  <c r="BK90" i="1"/>
  <c r="BK91" i="1"/>
  <c r="BK92" i="1"/>
  <c r="BK93" i="1"/>
  <c r="BK94" i="1"/>
  <c r="BK95" i="1"/>
  <c r="BK96" i="1"/>
  <c r="BK97" i="1"/>
  <c r="BK98" i="1"/>
  <c r="BK99" i="1"/>
  <c r="BK100" i="1"/>
  <c r="BK101" i="1"/>
  <c r="BK102" i="1"/>
  <c r="BK103" i="1"/>
  <c r="BK104" i="1"/>
  <c r="BK105" i="1"/>
  <c r="BK106" i="1"/>
  <c r="BK107" i="1"/>
  <c r="BK108" i="1"/>
  <c r="BK109" i="1"/>
  <c r="BK110" i="1"/>
  <c r="BK111" i="1"/>
  <c r="BK112" i="1"/>
  <c r="BK113" i="1"/>
  <c r="BK114" i="1"/>
  <c r="BK115" i="1"/>
  <c r="BK116" i="1"/>
  <c r="BK117" i="1"/>
  <c r="BK118" i="1"/>
  <c r="BK119" i="1"/>
  <c r="BK120" i="1"/>
  <c r="BK121" i="1"/>
  <c r="BK122" i="1"/>
  <c r="BK123" i="1"/>
  <c r="BK124" i="1"/>
  <c r="BK125" i="1"/>
  <c r="BK126" i="1"/>
  <c r="BK127" i="1"/>
  <c r="BK128" i="1"/>
  <c r="BK129" i="1"/>
  <c r="BK130" i="1"/>
  <c r="BK131" i="1"/>
  <c r="BK132" i="1"/>
  <c r="BK133" i="1"/>
  <c r="BK134" i="1"/>
  <c r="BK135" i="1"/>
  <c r="BK136" i="1"/>
  <c r="BK137" i="1"/>
  <c r="BK138" i="1"/>
  <c r="BK139" i="1"/>
  <c r="BK140" i="1"/>
  <c r="BK141" i="1"/>
  <c r="BK142" i="1"/>
  <c r="BK143" i="1"/>
  <c r="BK144" i="1"/>
  <c r="BK145" i="1"/>
  <c r="BK146" i="1"/>
  <c r="BK147" i="1"/>
  <c r="BK148" i="1"/>
  <c r="BK149" i="1"/>
  <c r="BK150" i="1"/>
  <c r="BK151" i="1"/>
  <c r="BK152" i="1"/>
  <c r="BK153" i="1"/>
  <c r="BK154" i="1"/>
  <c r="BK155" i="1"/>
  <c r="BK156" i="1"/>
  <c r="BK157" i="1"/>
  <c r="BK158" i="1"/>
  <c r="BK159" i="1"/>
  <c r="BK160" i="1"/>
  <c r="BK9" i="1"/>
  <c r="BK8" i="1"/>
  <c r="BK7" i="1"/>
  <c r="BK6" i="1"/>
  <c r="BK5" i="1"/>
  <c r="BK4" i="1"/>
  <c r="BK3" i="1"/>
  <c r="BL2" i="1"/>
  <c r="BK2" i="1"/>
  <c r="CF160" i="1" l="1"/>
  <c r="CD160" i="1"/>
  <c r="CC160" i="1"/>
  <c r="CB160" i="1"/>
  <c r="CA160" i="1"/>
  <c r="BY160" i="1"/>
  <c r="BX160" i="1"/>
  <c r="BW160" i="1"/>
  <c r="CF159" i="1"/>
  <c r="CD159" i="1"/>
  <c r="CC159" i="1"/>
  <c r="CB159" i="1"/>
  <c r="CA159" i="1"/>
  <c r="BY159" i="1"/>
  <c r="BX159" i="1"/>
  <c r="BW159" i="1"/>
  <c r="CF157" i="1"/>
  <c r="CD157" i="1"/>
  <c r="CC157" i="1"/>
  <c r="CB157" i="1"/>
  <c r="CA157" i="1"/>
  <c r="BY157" i="1"/>
  <c r="BX157" i="1"/>
  <c r="BW157" i="1"/>
  <c r="CF156" i="1"/>
  <c r="CD156" i="1"/>
  <c r="CC156" i="1"/>
  <c r="CB156" i="1"/>
  <c r="CA156" i="1"/>
  <c r="BY156" i="1"/>
  <c r="BX156" i="1"/>
  <c r="BW156" i="1"/>
  <c r="CF155" i="1"/>
  <c r="CD155" i="1"/>
  <c r="CC155" i="1"/>
  <c r="CB155" i="1"/>
  <c r="CA155" i="1"/>
  <c r="BY155" i="1"/>
  <c r="BX155" i="1"/>
  <c r="BW155" i="1"/>
  <c r="CF154" i="1"/>
  <c r="CD154" i="1"/>
  <c r="CC154" i="1"/>
  <c r="CB154" i="1"/>
  <c r="CA154" i="1"/>
  <c r="BY154" i="1"/>
  <c r="BX154" i="1"/>
  <c r="BW154" i="1"/>
  <c r="CF152" i="1"/>
  <c r="CD152" i="1"/>
  <c r="CC152" i="1"/>
  <c r="CB152" i="1"/>
  <c r="CA152" i="1"/>
  <c r="BY152" i="1"/>
  <c r="BX152" i="1"/>
  <c r="BW152" i="1"/>
  <c r="CF153" i="1"/>
  <c r="CD153" i="1"/>
  <c r="CC153" i="1"/>
  <c r="CB153" i="1"/>
  <c r="CA153" i="1"/>
  <c r="BY153" i="1"/>
  <c r="BX153" i="1"/>
  <c r="BW153" i="1"/>
  <c r="CF54" i="1"/>
  <c r="CD54" i="1"/>
  <c r="CC54" i="1"/>
  <c r="CB54" i="1"/>
  <c r="CA54" i="1"/>
  <c r="BY54" i="1"/>
  <c r="BX54" i="1"/>
  <c r="BW54" i="1"/>
  <c r="CF5" i="1"/>
  <c r="CD5" i="1"/>
  <c r="CC5" i="1"/>
  <c r="CB5" i="1"/>
  <c r="CA5" i="1"/>
  <c r="BY5" i="1"/>
  <c r="BX5" i="1"/>
  <c r="BW5" i="1"/>
  <c r="CF151" i="1"/>
  <c r="CD151" i="1"/>
  <c r="CC151" i="1"/>
  <c r="CB151" i="1"/>
  <c r="CA151" i="1"/>
  <c r="BY151" i="1"/>
  <c r="BX151" i="1"/>
  <c r="BW151" i="1"/>
  <c r="CF150" i="1"/>
  <c r="CD150" i="1"/>
  <c r="CC150" i="1"/>
  <c r="CB150" i="1"/>
  <c r="CA150" i="1"/>
  <c r="BY150" i="1"/>
  <c r="BX150" i="1"/>
  <c r="BW150" i="1"/>
  <c r="CF145" i="1"/>
  <c r="CD145" i="1"/>
  <c r="CC145" i="1"/>
  <c r="CB145" i="1"/>
  <c r="CA145" i="1"/>
  <c r="BY145" i="1"/>
  <c r="BX145" i="1"/>
  <c r="BW145" i="1"/>
  <c r="CF148" i="1"/>
  <c r="CD148" i="1"/>
  <c r="CC148" i="1"/>
  <c r="CB148" i="1"/>
  <c r="CA148" i="1"/>
  <c r="BY148" i="1"/>
  <c r="BX148" i="1"/>
  <c r="BW148" i="1"/>
  <c r="CF147" i="1"/>
  <c r="CD147" i="1"/>
  <c r="CC147" i="1"/>
  <c r="CB147" i="1"/>
  <c r="CA147" i="1"/>
  <c r="BY147" i="1"/>
  <c r="BX147" i="1"/>
  <c r="BW147" i="1"/>
  <c r="CF146" i="1"/>
  <c r="CD146" i="1"/>
  <c r="CC146" i="1"/>
  <c r="CB146" i="1"/>
  <c r="CA146" i="1"/>
  <c r="BY146" i="1"/>
  <c r="BX146" i="1"/>
  <c r="BW146" i="1"/>
  <c r="CF142" i="1"/>
  <c r="CD142" i="1"/>
  <c r="CC142" i="1"/>
  <c r="CB142" i="1"/>
  <c r="CA142" i="1"/>
  <c r="BY142" i="1"/>
  <c r="BX142" i="1"/>
  <c r="BW142" i="1"/>
  <c r="CF143" i="1"/>
  <c r="CD143" i="1"/>
  <c r="CC143" i="1"/>
  <c r="CB143" i="1"/>
  <c r="CA143" i="1"/>
  <c r="BY143" i="1"/>
  <c r="BX143" i="1"/>
  <c r="BW143" i="1"/>
  <c r="CF149" i="1"/>
  <c r="CD149" i="1"/>
  <c r="CC149" i="1"/>
  <c r="CB149" i="1"/>
  <c r="CA149" i="1"/>
  <c r="BY149" i="1"/>
  <c r="BX149" i="1"/>
  <c r="BW149" i="1"/>
  <c r="CF144" i="1"/>
  <c r="CD144" i="1"/>
  <c r="CC144" i="1"/>
  <c r="CB144" i="1"/>
  <c r="CA144" i="1"/>
  <c r="BY144" i="1"/>
  <c r="BX144" i="1"/>
  <c r="BW144" i="1"/>
  <c r="CF140" i="1"/>
  <c r="CD140" i="1"/>
  <c r="CC140" i="1"/>
  <c r="CB140" i="1"/>
  <c r="CA140" i="1"/>
  <c r="BY140" i="1"/>
  <c r="BX140" i="1"/>
  <c r="BW140" i="1"/>
  <c r="CF28" i="1"/>
  <c r="CD28" i="1"/>
  <c r="CC28" i="1"/>
  <c r="CB28" i="1"/>
  <c r="CA28" i="1"/>
  <c r="BY28" i="1"/>
  <c r="BX28" i="1"/>
  <c r="BW28" i="1"/>
  <c r="CF138" i="1"/>
  <c r="CD138" i="1"/>
  <c r="CC138" i="1"/>
  <c r="CB138" i="1"/>
  <c r="CA138" i="1"/>
  <c r="BY138" i="1"/>
  <c r="BX138" i="1"/>
  <c r="BW138" i="1"/>
  <c r="CF135" i="1"/>
  <c r="CD135" i="1"/>
  <c r="CC135" i="1"/>
  <c r="CB135" i="1"/>
  <c r="CA135" i="1"/>
  <c r="BY135" i="1"/>
  <c r="BX135" i="1"/>
  <c r="BW135" i="1"/>
  <c r="CF129" i="1"/>
  <c r="CD129" i="1"/>
  <c r="CC129" i="1"/>
  <c r="CB129" i="1"/>
  <c r="CA129" i="1"/>
  <c r="BY129" i="1"/>
  <c r="BX129" i="1"/>
  <c r="BW129" i="1"/>
  <c r="CF88" i="1"/>
  <c r="CD88" i="1"/>
  <c r="CC88" i="1"/>
  <c r="CB88" i="1"/>
  <c r="CA88" i="1"/>
  <c r="BY88" i="1"/>
  <c r="BX88" i="1"/>
  <c r="BW88" i="1"/>
  <c r="CF47" i="1"/>
  <c r="CD47" i="1"/>
  <c r="CC47" i="1"/>
  <c r="CB47" i="1"/>
  <c r="CA47" i="1"/>
  <c r="BY47" i="1"/>
  <c r="BX47" i="1"/>
  <c r="BW47" i="1"/>
  <c r="CF82" i="1"/>
  <c r="CD82" i="1"/>
  <c r="CC82" i="1"/>
  <c r="CB82" i="1"/>
  <c r="CA82" i="1"/>
  <c r="BY82" i="1"/>
  <c r="BX82" i="1"/>
  <c r="BW82" i="1"/>
  <c r="CF158" i="1"/>
  <c r="CD158" i="1"/>
  <c r="CC158" i="1"/>
  <c r="CB158" i="1"/>
  <c r="CA158" i="1"/>
  <c r="BY158" i="1"/>
  <c r="BX158" i="1"/>
  <c r="BW158" i="1"/>
  <c r="CF137" i="1"/>
  <c r="CD137" i="1"/>
  <c r="CC137" i="1"/>
  <c r="CB137" i="1"/>
  <c r="CA137" i="1"/>
  <c r="BY137" i="1"/>
  <c r="BX137" i="1"/>
  <c r="BW137" i="1"/>
  <c r="CF136" i="1"/>
  <c r="CD136" i="1"/>
  <c r="CC136" i="1"/>
  <c r="CB136" i="1"/>
  <c r="CA136" i="1"/>
  <c r="BY136" i="1"/>
  <c r="BX136" i="1"/>
  <c r="BW136" i="1"/>
  <c r="CF139" i="1"/>
  <c r="CD139" i="1"/>
  <c r="CC139" i="1"/>
  <c r="CB139" i="1"/>
  <c r="CA139" i="1"/>
  <c r="BY139" i="1"/>
  <c r="BX139" i="1"/>
  <c r="BW139" i="1"/>
  <c r="CF134" i="1"/>
  <c r="CD134" i="1"/>
  <c r="CC134" i="1"/>
  <c r="CB134" i="1"/>
  <c r="CA134" i="1"/>
  <c r="BY134" i="1"/>
  <c r="BX134" i="1"/>
  <c r="BW134" i="1"/>
  <c r="CF130" i="1"/>
  <c r="CD130" i="1"/>
  <c r="CC130" i="1"/>
  <c r="CB130" i="1"/>
  <c r="CA130" i="1"/>
  <c r="BY130" i="1"/>
  <c r="BX130" i="1"/>
  <c r="BW130" i="1"/>
  <c r="CF128" i="1"/>
  <c r="CD128" i="1"/>
  <c r="CC128" i="1"/>
  <c r="CB128" i="1"/>
  <c r="CA128" i="1"/>
  <c r="BY128" i="1"/>
  <c r="BX128" i="1"/>
  <c r="BW128" i="1"/>
  <c r="CF127" i="1"/>
  <c r="CD127" i="1"/>
  <c r="CC127" i="1"/>
  <c r="CB127" i="1"/>
  <c r="CA127" i="1"/>
  <c r="BY127" i="1"/>
  <c r="BX127" i="1"/>
  <c r="BW127" i="1"/>
  <c r="CF126" i="1"/>
  <c r="CD126" i="1"/>
  <c r="CC126" i="1"/>
  <c r="CB126" i="1"/>
  <c r="CA126" i="1"/>
  <c r="BY126" i="1"/>
  <c r="BX126" i="1"/>
  <c r="BW126" i="1"/>
  <c r="CF125" i="1"/>
  <c r="CD125" i="1"/>
  <c r="CC125" i="1"/>
  <c r="CB125" i="1"/>
  <c r="CA125" i="1"/>
  <c r="BY125" i="1"/>
  <c r="BX125" i="1"/>
  <c r="BW125" i="1"/>
  <c r="CF124" i="1"/>
  <c r="CD124" i="1"/>
  <c r="CC124" i="1"/>
  <c r="CB124" i="1"/>
  <c r="CA124" i="1"/>
  <c r="BY124" i="1"/>
  <c r="BX124" i="1"/>
  <c r="BW124" i="1"/>
  <c r="CF122" i="1"/>
  <c r="CD122" i="1"/>
  <c r="CC122" i="1"/>
  <c r="CB122" i="1"/>
  <c r="CA122" i="1"/>
  <c r="BY122" i="1"/>
  <c r="BX122" i="1"/>
  <c r="BW122" i="1"/>
  <c r="CF119" i="1"/>
  <c r="CD119" i="1"/>
  <c r="CC119" i="1"/>
  <c r="CB119" i="1"/>
  <c r="CA119" i="1"/>
  <c r="BY119" i="1"/>
  <c r="BX119" i="1"/>
  <c r="BW119" i="1"/>
  <c r="CF117" i="1"/>
  <c r="CD117" i="1"/>
  <c r="CC117" i="1"/>
  <c r="CB117" i="1"/>
  <c r="CA117" i="1"/>
  <c r="BY117" i="1"/>
  <c r="BX117" i="1"/>
  <c r="BW117" i="1"/>
  <c r="CF116" i="1"/>
  <c r="CD116" i="1"/>
  <c r="CC116" i="1"/>
  <c r="CB116" i="1"/>
  <c r="CA116" i="1"/>
  <c r="BY116" i="1"/>
  <c r="BX116" i="1"/>
  <c r="BW116" i="1"/>
  <c r="CF123" i="1"/>
  <c r="CD123" i="1"/>
  <c r="CC123" i="1"/>
  <c r="CB123" i="1"/>
  <c r="CA123" i="1"/>
  <c r="BY123" i="1"/>
  <c r="BX123" i="1"/>
  <c r="BW123" i="1"/>
  <c r="CF118" i="1"/>
  <c r="CD118" i="1"/>
  <c r="CC118" i="1"/>
  <c r="CB118" i="1"/>
  <c r="CA118" i="1"/>
  <c r="BY118" i="1"/>
  <c r="BX118" i="1"/>
  <c r="BW118" i="1"/>
  <c r="CF115" i="1"/>
  <c r="CD115" i="1"/>
  <c r="CC115" i="1"/>
  <c r="CB115" i="1"/>
  <c r="CA115" i="1"/>
  <c r="BY115" i="1"/>
  <c r="BX115" i="1"/>
  <c r="BW115" i="1"/>
  <c r="CF114" i="1"/>
  <c r="CD114" i="1"/>
  <c r="CC114" i="1"/>
  <c r="CB114" i="1"/>
  <c r="CA114" i="1"/>
  <c r="BY114" i="1"/>
  <c r="BX114" i="1"/>
  <c r="BW114" i="1"/>
  <c r="CF113" i="1"/>
  <c r="CD113" i="1"/>
  <c r="CC113" i="1"/>
  <c r="CB113" i="1"/>
  <c r="CA113" i="1"/>
  <c r="BY113" i="1"/>
  <c r="BX113" i="1"/>
  <c r="BW113" i="1"/>
  <c r="CF110" i="1"/>
  <c r="CD110" i="1"/>
  <c r="CC110" i="1"/>
  <c r="CB110" i="1"/>
  <c r="CA110" i="1"/>
  <c r="BY110" i="1"/>
  <c r="BX110" i="1"/>
  <c r="BW110" i="1"/>
  <c r="CF121" i="1"/>
  <c r="CD121" i="1"/>
  <c r="CC121" i="1"/>
  <c r="CB121" i="1"/>
  <c r="CA121" i="1"/>
  <c r="BY121" i="1"/>
  <c r="BX121" i="1"/>
  <c r="BW121" i="1"/>
  <c r="CF107" i="1"/>
  <c r="CD107" i="1"/>
  <c r="CC107" i="1"/>
  <c r="CB107" i="1"/>
  <c r="CA107" i="1"/>
  <c r="BY107" i="1"/>
  <c r="BX107" i="1"/>
  <c r="BW107" i="1"/>
  <c r="CF106" i="1"/>
  <c r="CD106" i="1"/>
  <c r="CC106" i="1"/>
  <c r="CB106" i="1"/>
  <c r="CA106" i="1"/>
  <c r="BY106" i="1"/>
  <c r="BX106" i="1"/>
  <c r="BW106" i="1"/>
  <c r="CF108" i="1"/>
  <c r="CD108" i="1"/>
  <c r="CC108" i="1"/>
  <c r="CB108" i="1"/>
  <c r="CA108" i="1"/>
  <c r="BY108" i="1"/>
  <c r="BX108" i="1"/>
  <c r="BW108" i="1"/>
  <c r="CF112" i="1"/>
  <c r="CD112" i="1"/>
  <c r="CC112" i="1"/>
  <c r="CB112" i="1"/>
  <c r="CA112" i="1"/>
  <c r="BY112" i="1"/>
  <c r="BX112" i="1"/>
  <c r="BW112" i="1"/>
  <c r="CF109" i="1"/>
  <c r="CD109" i="1"/>
  <c r="CC109" i="1"/>
  <c r="CB109" i="1"/>
  <c r="CA109" i="1"/>
  <c r="BY109" i="1"/>
  <c r="BX109" i="1"/>
  <c r="BW109" i="1"/>
  <c r="CF111" i="1"/>
  <c r="CD111" i="1"/>
  <c r="CC111" i="1"/>
  <c r="CB111" i="1"/>
  <c r="CA111" i="1"/>
  <c r="BY111" i="1"/>
  <c r="BX111" i="1"/>
  <c r="BW111" i="1"/>
  <c r="CF105" i="1"/>
  <c r="CD105" i="1"/>
  <c r="CC105" i="1"/>
  <c r="CB105" i="1"/>
  <c r="CA105" i="1"/>
  <c r="BY105" i="1"/>
  <c r="BX105" i="1"/>
  <c r="BW105" i="1"/>
  <c r="CF97" i="1"/>
  <c r="CD97" i="1"/>
  <c r="CC97" i="1"/>
  <c r="CB97" i="1"/>
  <c r="CA97" i="1"/>
  <c r="BY97" i="1"/>
  <c r="BX97" i="1"/>
  <c r="BW97" i="1"/>
  <c r="CF100" i="1"/>
  <c r="CD100" i="1"/>
  <c r="CC100" i="1"/>
  <c r="CB100" i="1"/>
  <c r="CA100" i="1"/>
  <c r="BY100" i="1"/>
  <c r="BX100" i="1"/>
  <c r="BW100" i="1"/>
  <c r="CF91" i="1"/>
  <c r="CD91" i="1"/>
  <c r="CC91" i="1"/>
  <c r="CB91" i="1"/>
  <c r="CA91" i="1"/>
  <c r="BY91" i="1"/>
  <c r="BX91" i="1"/>
  <c r="BW91" i="1"/>
  <c r="CA98" i="1"/>
  <c r="BY98" i="1"/>
  <c r="BX98" i="1"/>
  <c r="BW98" i="1"/>
  <c r="CF99" i="1"/>
  <c r="CD99" i="1"/>
  <c r="CC99" i="1"/>
  <c r="CB99" i="1"/>
  <c r="CA99" i="1"/>
  <c r="BY99" i="1"/>
  <c r="BX99" i="1"/>
  <c r="BW99" i="1"/>
  <c r="CF93" i="1"/>
  <c r="CD93" i="1"/>
  <c r="CC93" i="1"/>
  <c r="CB93" i="1"/>
  <c r="CA93" i="1"/>
  <c r="BY93" i="1"/>
  <c r="BX93" i="1"/>
  <c r="BW93" i="1"/>
  <c r="CF102" i="1"/>
  <c r="CD102" i="1"/>
  <c r="CC102" i="1"/>
  <c r="CB102" i="1"/>
  <c r="CA102" i="1"/>
  <c r="BY102" i="1"/>
  <c r="BX102" i="1"/>
  <c r="BW102" i="1"/>
  <c r="CF96" i="1"/>
  <c r="CD96" i="1"/>
  <c r="CC96" i="1"/>
  <c r="CB96" i="1"/>
  <c r="CA96" i="1"/>
  <c r="BY96" i="1"/>
  <c r="BX96" i="1"/>
  <c r="BW96" i="1"/>
  <c r="CF95" i="1"/>
  <c r="CD95" i="1"/>
  <c r="CC95" i="1"/>
  <c r="CB95" i="1"/>
  <c r="CA95" i="1"/>
  <c r="BY95" i="1"/>
  <c r="BX95" i="1"/>
  <c r="BW95" i="1"/>
  <c r="CF104" i="1"/>
  <c r="CD104" i="1"/>
  <c r="CC104" i="1"/>
  <c r="CB104" i="1"/>
  <c r="CA104" i="1"/>
  <c r="BY104" i="1"/>
  <c r="BX104" i="1"/>
  <c r="BW104" i="1"/>
  <c r="CF103" i="1"/>
  <c r="CD103" i="1"/>
  <c r="CC103" i="1"/>
  <c r="CB103" i="1"/>
  <c r="CA103" i="1"/>
  <c r="BY103" i="1"/>
  <c r="BX103" i="1"/>
  <c r="BW103" i="1"/>
  <c r="CF92" i="1"/>
  <c r="CD92" i="1"/>
  <c r="CC92" i="1"/>
  <c r="CB92" i="1"/>
  <c r="CA92" i="1"/>
  <c r="BY92" i="1"/>
  <c r="BX92" i="1"/>
  <c r="BW92" i="1"/>
  <c r="CF94" i="1"/>
  <c r="CD94" i="1"/>
  <c r="CC94" i="1"/>
  <c r="CB94" i="1"/>
  <c r="CA94" i="1"/>
  <c r="BY94" i="1"/>
  <c r="BX94" i="1"/>
  <c r="BW94" i="1"/>
  <c r="CF90" i="1"/>
  <c r="CD90" i="1"/>
  <c r="CC90" i="1"/>
  <c r="CB90" i="1"/>
  <c r="CA90" i="1"/>
  <c r="BY90" i="1"/>
  <c r="BX90" i="1"/>
  <c r="BW90" i="1"/>
  <c r="CF87" i="1"/>
  <c r="CD87" i="1"/>
  <c r="CC87" i="1"/>
  <c r="CB87" i="1"/>
  <c r="CA87" i="1"/>
  <c r="BY87" i="1"/>
  <c r="BX87" i="1"/>
  <c r="BW87" i="1"/>
  <c r="CF85" i="1"/>
  <c r="CD85" i="1"/>
  <c r="CC85" i="1"/>
  <c r="CB85" i="1"/>
  <c r="CA85" i="1"/>
  <c r="BY85" i="1"/>
  <c r="BX85" i="1"/>
  <c r="BW85" i="1"/>
  <c r="CF80" i="1"/>
  <c r="CD80" i="1"/>
  <c r="CC80" i="1"/>
  <c r="CB80" i="1"/>
  <c r="CA80" i="1"/>
  <c r="BY80" i="1"/>
  <c r="BX80" i="1"/>
  <c r="BW80" i="1"/>
  <c r="CF83" i="1"/>
  <c r="CD83" i="1"/>
  <c r="CC83" i="1"/>
  <c r="CB83" i="1"/>
  <c r="CA83" i="1"/>
  <c r="BY83" i="1"/>
  <c r="BX83" i="1"/>
  <c r="BW83" i="1"/>
  <c r="CF79" i="1"/>
  <c r="CD79" i="1"/>
  <c r="CC79" i="1"/>
  <c r="CB79" i="1"/>
  <c r="CA79" i="1"/>
  <c r="BY79" i="1"/>
  <c r="BX79" i="1"/>
  <c r="BW79" i="1"/>
  <c r="CF78" i="1"/>
  <c r="CD78" i="1"/>
  <c r="CC78" i="1"/>
  <c r="CB78" i="1"/>
  <c r="CA78" i="1"/>
  <c r="BY78" i="1"/>
  <c r="BX78" i="1"/>
  <c r="BW78" i="1"/>
  <c r="CF76" i="1"/>
  <c r="CD76" i="1"/>
  <c r="CC76" i="1"/>
  <c r="CB76" i="1"/>
  <c r="CA76" i="1"/>
  <c r="BY76" i="1"/>
  <c r="BX76" i="1"/>
  <c r="BW76" i="1"/>
  <c r="CF77" i="1"/>
  <c r="CD77" i="1"/>
  <c r="CC77" i="1"/>
  <c r="CB77" i="1"/>
  <c r="CA77" i="1"/>
  <c r="BY77" i="1"/>
  <c r="BX77" i="1"/>
  <c r="BW77" i="1"/>
  <c r="CF75" i="1"/>
  <c r="CD75" i="1"/>
  <c r="CC75" i="1"/>
  <c r="CB75" i="1"/>
  <c r="CA75" i="1"/>
  <c r="BY75" i="1"/>
  <c r="BX75" i="1"/>
  <c r="BW75" i="1"/>
  <c r="CF74" i="1"/>
  <c r="CD74" i="1"/>
  <c r="CC74" i="1"/>
  <c r="CB74" i="1"/>
  <c r="CA74" i="1"/>
  <c r="BY74" i="1"/>
  <c r="BX74" i="1"/>
  <c r="BW74" i="1"/>
  <c r="CF73" i="1"/>
  <c r="CD73" i="1"/>
  <c r="CC73" i="1"/>
  <c r="CB73" i="1"/>
  <c r="CA73" i="1"/>
  <c r="BY73" i="1"/>
  <c r="BX73" i="1"/>
  <c r="BW73" i="1"/>
  <c r="CF70" i="1"/>
  <c r="CD70" i="1"/>
  <c r="CC70" i="1"/>
  <c r="CB70" i="1"/>
  <c r="CA70" i="1"/>
  <c r="BY70" i="1"/>
  <c r="BX70" i="1"/>
  <c r="BW70" i="1"/>
  <c r="CF72" i="1"/>
  <c r="CD72" i="1"/>
  <c r="CC72" i="1"/>
  <c r="CB72" i="1"/>
  <c r="CA72" i="1"/>
  <c r="BY72" i="1"/>
  <c r="BX72" i="1"/>
  <c r="BW72" i="1"/>
  <c r="CF71" i="1"/>
  <c r="CD71" i="1"/>
  <c r="CC71" i="1"/>
  <c r="CB71" i="1"/>
  <c r="CA71" i="1"/>
  <c r="BY71" i="1"/>
  <c r="BX71" i="1"/>
  <c r="BW71" i="1"/>
  <c r="CF68" i="1"/>
  <c r="CD68" i="1"/>
  <c r="CC68" i="1"/>
  <c r="CB68" i="1"/>
  <c r="CA68" i="1"/>
  <c r="BY68" i="1"/>
  <c r="BX68" i="1"/>
  <c r="BW68" i="1"/>
  <c r="CF69" i="1"/>
  <c r="CD69" i="1"/>
  <c r="CC69" i="1"/>
  <c r="CB69" i="1"/>
  <c r="CA69" i="1"/>
  <c r="BY69" i="1"/>
  <c r="BX69" i="1"/>
  <c r="BW69" i="1"/>
  <c r="CF67" i="1"/>
  <c r="CD67" i="1"/>
  <c r="CC67" i="1"/>
  <c r="CB67" i="1"/>
  <c r="CA67" i="1"/>
  <c r="BY67" i="1"/>
  <c r="BX67" i="1"/>
  <c r="BW67" i="1"/>
  <c r="CF64" i="1"/>
  <c r="CD64" i="1"/>
  <c r="CC64" i="1"/>
  <c r="CB64" i="1"/>
  <c r="CA64" i="1"/>
  <c r="BY64" i="1"/>
  <c r="BX64" i="1"/>
  <c r="BW64" i="1"/>
  <c r="CF63" i="1"/>
  <c r="CD63" i="1"/>
  <c r="CC63" i="1"/>
  <c r="CB63" i="1"/>
  <c r="CA63" i="1"/>
  <c r="BY63" i="1"/>
  <c r="BX63" i="1"/>
  <c r="BW63" i="1"/>
  <c r="CF57" i="1"/>
  <c r="CD57" i="1"/>
  <c r="CC57" i="1"/>
  <c r="CB57" i="1"/>
  <c r="CA57" i="1"/>
  <c r="BY57" i="1"/>
  <c r="BX57" i="1"/>
  <c r="BW57" i="1"/>
  <c r="CF62" i="1"/>
  <c r="CD62" i="1"/>
  <c r="CC62" i="1"/>
  <c r="CB62" i="1"/>
  <c r="CA62" i="1"/>
  <c r="BY62" i="1"/>
  <c r="BX62" i="1"/>
  <c r="BW62" i="1"/>
  <c r="CF60" i="1"/>
  <c r="CD60" i="1"/>
  <c r="CC60" i="1"/>
  <c r="CB60" i="1"/>
  <c r="CA60" i="1"/>
  <c r="BY60" i="1"/>
  <c r="BX60" i="1"/>
  <c r="BW60" i="1"/>
  <c r="CF56" i="1"/>
  <c r="CD56" i="1"/>
  <c r="CC56" i="1"/>
  <c r="CB56" i="1"/>
  <c r="CA56" i="1"/>
  <c r="BY56" i="1"/>
  <c r="BX56" i="1"/>
  <c r="BW56" i="1"/>
  <c r="CF40" i="1"/>
  <c r="CD40" i="1"/>
  <c r="CC40" i="1"/>
  <c r="CB40" i="1"/>
  <c r="CA40" i="1"/>
  <c r="BY40" i="1"/>
  <c r="BX40" i="1"/>
  <c r="BW40" i="1"/>
  <c r="CF55" i="1"/>
  <c r="CD55" i="1"/>
  <c r="CC55" i="1"/>
  <c r="CB55" i="1"/>
  <c r="CA55" i="1"/>
  <c r="BY55" i="1"/>
  <c r="BX55" i="1"/>
  <c r="BW55" i="1"/>
  <c r="CF58" i="1"/>
  <c r="CD58" i="1"/>
  <c r="CC58" i="1"/>
  <c r="CB58" i="1"/>
  <c r="CA58" i="1"/>
  <c r="BY58" i="1"/>
  <c r="BX58" i="1"/>
  <c r="BW58" i="1"/>
  <c r="CF53" i="1"/>
  <c r="CD53" i="1"/>
  <c r="CC53" i="1"/>
  <c r="CB53" i="1"/>
  <c r="CA53" i="1"/>
  <c r="BY53" i="1"/>
  <c r="BX53" i="1"/>
  <c r="BW53" i="1"/>
  <c r="CF52" i="1"/>
  <c r="CD52" i="1"/>
  <c r="CC52" i="1"/>
  <c r="CB52" i="1"/>
  <c r="CA52" i="1"/>
  <c r="BY52" i="1"/>
  <c r="BX52" i="1"/>
  <c r="BW52" i="1"/>
  <c r="CF50" i="1"/>
  <c r="CD50" i="1"/>
  <c r="CC50" i="1"/>
  <c r="CB50" i="1"/>
  <c r="CA50" i="1"/>
  <c r="BY50" i="1"/>
  <c r="BX50" i="1"/>
  <c r="BW50" i="1"/>
  <c r="CF51" i="1"/>
  <c r="CD51" i="1"/>
  <c r="CC51" i="1"/>
  <c r="CB51" i="1"/>
  <c r="CA51" i="1"/>
  <c r="BY51" i="1"/>
  <c r="BX51" i="1"/>
  <c r="BW51" i="1"/>
  <c r="CF49" i="1"/>
  <c r="CD49" i="1"/>
  <c r="CC49" i="1"/>
  <c r="CB49" i="1"/>
  <c r="CA49" i="1"/>
  <c r="BY49" i="1"/>
  <c r="BX49" i="1"/>
  <c r="BW49" i="1"/>
  <c r="CF48" i="1"/>
  <c r="CD48" i="1"/>
  <c r="CC48" i="1"/>
  <c r="CB48" i="1"/>
  <c r="CA48" i="1"/>
  <c r="BY48" i="1"/>
  <c r="BX48" i="1"/>
  <c r="BW48" i="1"/>
  <c r="CF46" i="1"/>
  <c r="CD46" i="1"/>
  <c r="CC46" i="1"/>
  <c r="CB46" i="1"/>
  <c r="CA46" i="1"/>
  <c r="BY46" i="1"/>
  <c r="BX46" i="1"/>
  <c r="BW46" i="1"/>
  <c r="CF132" i="1"/>
  <c r="CD132" i="1"/>
  <c r="CC132" i="1"/>
  <c r="CB132" i="1"/>
  <c r="CA132" i="1"/>
  <c r="BY132" i="1"/>
  <c r="BX132" i="1"/>
  <c r="BW132" i="1"/>
  <c r="CF45" i="1"/>
  <c r="CD45" i="1"/>
  <c r="CC45" i="1"/>
  <c r="CB45" i="1"/>
  <c r="CA45" i="1"/>
  <c r="BY45" i="1"/>
  <c r="BX45" i="1"/>
  <c r="BW45" i="1"/>
  <c r="CF44" i="1"/>
  <c r="CD44" i="1"/>
  <c r="CC44" i="1"/>
  <c r="CB44" i="1"/>
  <c r="CA44" i="1"/>
  <c r="BY44" i="1"/>
  <c r="BX44" i="1"/>
  <c r="BW44" i="1"/>
  <c r="CF42" i="1"/>
  <c r="CD42" i="1"/>
  <c r="CC42" i="1"/>
  <c r="CB42" i="1"/>
  <c r="CA42" i="1"/>
  <c r="BY42" i="1"/>
  <c r="BX42" i="1"/>
  <c r="BW42" i="1"/>
  <c r="CF41" i="1"/>
  <c r="CD41" i="1"/>
  <c r="CC41" i="1"/>
  <c r="CB41" i="1"/>
  <c r="CA41" i="1"/>
  <c r="BY41" i="1"/>
  <c r="BX41" i="1"/>
  <c r="BW41" i="1"/>
  <c r="CF32" i="1"/>
  <c r="CD32" i="1"/>
  <c r="CC32" i="1"/>
  <c r="CB32" i="1"/>
  <c r="CA32" i="1"/>
  <c r="BY32" i="1"/>
  <c r="BX32" i="1"/>
  <c r="BW32" i="1"/>
  <c r="CF39" i="1"/>
  <c r="CD39" i="1"/>
  <c r="CC39" i="1"/>
  <c r="CB39" i="1"/>
  <c r="CA39" i="1"/>
  <c r="BY39" i="1"/>
  <c r="BX39" i="1"/>
  <c r="BW39" i="1"/>
  <c r="CF38" i="1"/>
  <c r="CD38" i="1"/>
  <c r="CC38" i="1"/>
  <c r="CB38" i="1"/>
  <c r="CA38" i="1"/>
  <c r="BY38" i="1"/>
  <c r="BX38" i="1"/>
  <c r="BW38" i="1"/>
  <c r="CF37" i="1"/>
  <c r="CD37" i="1"/>
  <c r="CC37" i="1"/>
  <c r="CB37" i="1"/>
  <c r="CA37" i="1"/>
  <c r="BY37" i="1"/>
  <c r="BX37" i="1"/>
  <c r="BW37" i="1"/>
  <c r="CF65" i="1"/>
  <c r="CD65" i="1"/>
  <c r="CC65" i="1"/>
  <c r="CB65" i="1"/>
  <c r="CA65" i="1"/>
  <c r="BY65" i="1"/>
  <c r="BX65" i="1"/>
  <c r="BW65" i="1"/>
  <c r="CF36" i="1"/>
  <c r="CD36" i="1"/>
  <c r="CC36" i="1"/>
  <c r="CB36" i="1"/>
  <c r="CA36" i="1"/>
  <c r="BY36" i="1"/>
  <c r="BX36" i="1"/>
  <c r="BW36" i="1"/>
  <c r="CF33" i="1"/>
  <c r="CD33" i="1"/>
  <c r="CC33" i="1"/>
  <c r="CB33" i="1"/>
  <c r="CA33" i="1"/>
  <c r="BY33" i="1"/>
  <c r="BX33" i="1"/>
  <c r="BW33" i="1"/>
  <c r="CF34" i="1"/>
  <c r="CD34" i="1"/>
  <c r="CC34" i="1"/>
  <c r="CB34" i="1"/>
  <c r="CA34" i="1"/>
  <c r="BY34" i="1"/>
  <c r="BX34" i="1"/>
  <c r="BW34" i="1"/>
  <c r="CF30" i="1"/>
  <c r="CD30" i="1"/>
  <c r="CC30" i="1"/>
  <c r="CB30" i="1"/>
  <c r="CA30" i="1"/>
  <c r="BY30" i="1"/>
  <c r="BX30" i="1"/>
  <c r="BW30" i="1"/>
  <c r="CF29" i="1"/>
  <c r="CD29" i="1"/>
  <c r="CC29" i="1"/>
  <c r="CB29" i="1"/>
  <c r="CA29" i="1"/>
  <c r="BY29" i="1"/>
  <c r="BX29" i="1"/>
  <c r="BW29" i="1"/>
  <c r="CF27" i="1"/>
  <c r="CD27" i="1"/>
  <c r="CC27" i="1"/>
  <c r="CB27" i="1"/>
  <c r="CA27" i="1"/>
  <c r="BY27" i="1"/>
  <c r="BX27" i="1"/>
  <c r="BW27" i="1"/>
  <c r="CF31" i="1"/>
  <c r="CD31" i="1"/>
  <c r="CC31" i="1"/>
  <c r="CB31" i="1"/>
  <c r="CA31" i="1"/>
  <c r="BY31" i="1"/>
  <c r="BX31" i="1"/>
  <c r="BW31" i="1"/>
  <c r="CF81" i="1"/>
  <c r="CD81" i="1"/>
  <c r="CC81" i="1"/>
  <c r="CB81" i="1"/>
  <c r="CA81" i="1"/>
  <c r="BY81" i="1"/>
  <c r="BX81" i="1"/>
  <c r="BW81" i="1"/>
  <c r="CF20" i="1"/>
  <c r="CD20" i="1"/>
  <c r="CC20" i="1"/>
  <c r="CB20" i="1"/>
  <c r="CA20" i="1"/>
  <c r="BY20" i="1"/>
  <c r="BX20" i="1"/>
  <c r="BW20" i="1"/>
  <c r="CF12" i="1"/>
  <c r="CD12" i="1"/>
  <c r="CC12" i="1"/>
  <c r="CB12" i="1"/>
  <c r="CA12" i="1"/>
  <c r="BY12" i="1"/>
  <c r="BX12" i="1"/>
  <c r="BW12" i="1"/>
  <c r="CF15" i="1"/>
  <c r="CD15" i="1"/>
  <c r="CC15" i="1"/>
  <c r="CB15" i="1"/>
  <c r="CA15" i="1"/>
  <c r="BY15" i="1"/>
  <c r="BX15" i="1"/>
  <c r="BW15" i="1"/>
  <c r="CF17" i="1"/>
  <c r="CD17" i="1"/>
  <c r="CC17" i="1"/>
  <c r="CB17" i="1"/>
  <c r="CA17" i="1"/>
  <c r="BY17" i="1"/>
  <c r="BX17" i="1"/>
  <c r="BW17" i="1"/>
  <c r="CF24" i="1"/>
  <c r="CD24" i="1"/>
  <c r="CC24" i="1"/>
  <c r="CB24" i="1"/>
  <c r="CA24" i="1"/>
  <c r="BY24" i="1"/>
  <c r="BX24" i="1"/>
  <c r="BW24" i="1"/>
  <c r="CF23" i="1"/>
  <c r="CD23" i="1"/>
  <c r="CC23" i="1"/>
  <c r="CB23" i="1"/>
  <c r="CA23" i="1"/>
  <c r="BY23" i="1"/>
  <c r="BX23" i="1"/>
  <c r="BW23" i="1"/>
  <c r="CF26" i="1"/>
  <c r="CD26" i="1"/>
  <c r="CC26" i="1"/>
  <c r="CB26" i="1"/>
  <c r="CA26" i="1"/>
  <c r="BY26" i="1"/>
  <c r="BX26" i="1"/>
  <c r="BW26" i="1"/>
  <c r="CF19" i="1"/>
  <c r="CD19" i="1"/>
  <c r="CC19" i="1"/>
  <c r="CB19" i="1"/>
  <c r="CA19" i="1"/>
  <c r="BY19" i="1"/>
  <c r="BX19" i="1"/>
  <c r="BW19" i="1"/>
  <c r="CF22" i="1"/>
  <c r="CD22" i="1"/>
  <c r="CC22" i="1"/>
  <c r="CB22" i="1"/>
  <c r="CA22" i="1"/>
  <c r="BY22" i="1"/>
  <c r="BX22" i="1"/>
  <c r="BW22" i="1"/>
  <c r="CF25" i="1"/>
  <c r="CD25" i="1"/>
  <c r="CC25" i="1"/>
  <c r="CB25" i="1"/>
  <c r="CA25" i="1"/>
  <c r="BY25" i="1"/>
  <c r="BX25" i="1"/>
  <c r="BW25" i="1"/>
  <c r="CF14" i="1"/>
  <c r="CD14" i="1"/>
  <c r="CC14" i="1"/>
  <c r="CB14" i="1"/>
  <c r="CA14" i="1"/>
  <c r="BY14" i="1"/>
  <c r="BX14" i="1"/>
  <c r="BW14" i="1"/>
  <c r="CF21" i="1"/>
  <c r="CD21" i="1"/>
  <c r="CC21" i="1"/>
  <c r="CB21" i="1"/>
  <c r="CA21" i="1"/>
  <c r="BY21" i="1"/>
  <c r="BX21" i="1"/>
  <c r="BW21" i="1"/>
  <c r="CF13" i="1"/>
  <c r="CD13" i="1"/>
  <c r="CC13" i="1"/>
  <c r="CB13" i="1"/>
  <c r="CA13" i="1"/>
  <c r="BY13" i="1"/>
  <c r="BX13" i="1"/>
  <c r="BW13" i="1"/>
  <c r="CF16" i="1"/>
  <c r="CD16" i="1"/>
  <c r="CC16" i="1"/>
  <c r="CB16" i="1"/>
  <c r="CA16" i="1"/>
  <c r="BY16" i="1"/>
  <c r="BX16" i="1"/>
  <c r="BW16" i="1"/>
  <c r="CF18" i="1"/>
  <c r="CD18" i="1"/>
  <c r="CC18" i="1"/>
  <c r="CB18" i="1"/>
  <c r="CA18" i="1"/>
  <c r="BY18" i="1"/>
  <c r="BX18" i="1"/>
  <c r="BW18" i="1"/>
  <c r="CF11" i="1"/>
  <c r="CD11" i="1"/>
  <c r="CC11" i="1"/>
  <c r="CB11" i="1"/>
  <c r="CA11" i="1"/>
  <c r="BY11" i="1"/>
  <c r="BX11" i="1"/>
  <c r="BW11" i="1"/>
  <c r="CF10" i="1"/>
  <c r="CD10" i="1"/>
  <c r="CC10" i="1"/>
  <c r="CB10" i="1"/>
  <c r="CA10" i="1"/>
  <c r="BY10" i="1"/>
  <c r="BX10" i="1"/>
  <c r="BW10" i="1"/>
  <c r="CF9" i="1"/>
  <c r="CD9" i="1"/>
  <c r="CC9" i="1"/>
  <c r="CB9" i="1"/>
  <c r="CA9" i="1"/>
  <c r="BY9" i="1"/>
  <c r="BX9" i="1"/>
  <c r="BW9" i="1"/>
  <c r="CF7" i="1"/>
  <c r="CD7" i="1"/>
  <c r="CC7" i="1"/>
  <c r="CB7" i="1"/>
  <c r="CA7" i="1"/>
  <c r="BY7" i="1"/>
  <c r="BX7" i="1"/>
  <c r="BW7" i="1"/>
  <c r="CF6" i="1"/>
  <c r="CD6" i="1"/>
  <c r="CC6" i="1"/>
  <c r="CB6" i="1"/>
  <c r="CA6" i="1"/>
  <c r="BY6" i="1"/>
  <c r="BX6" i="1"/>
  <c r="BW6" i="1"/>
  <c r="CF8" i="1"/>
  <c r="CD8" i="1"/>
  <c r="CC8" i="1"/>
  <c r="CB8" i="1"/>
  <c r="CA8" i="1"/>
  <c r="BY8" i="1"/>
  <c r="BX8" i="1"/>
  <c r="BW8" i="1"/>
  <c r="CF3" i="1"/>
  <c r="CD3" i="1"/>
  <c r="CC3" i="1"/>
  <c r="CB3" i="1"/>
  <c r="CA3" i="1"/>
  <c r="BY3" i="1"/>
  <c r="BX3" i="1"/>
  <c r="BW3" i="1"/>
  <c r="CF43" i="1"/>
  <c r="CD43" i="1"/>
  <c r="CC43" i="1"/>
  <c r="CB43" i="1"/>
  <c r="CA43" i="1"/>
  <c r="BY43" i="1"/>
  <c r="BX43" i="1"/>
  <c r="BW43" i="1"/>
  <c r="CF4" i="1"/>
  <c r="CD4" i="1"/>
  <c r="CC4" i="1"/>
  <c r="CB4" i="1"/>
  <c r="CA4" i="1"/>
  <c r="BY4" i="1"/>
  <c r="BX4" i="1"/>
  <c r="BW4" i="1"/>
  <c r="CF2" i="1"/>
  <c r="CD2" i="1"/>
  <c r="CC2" i="1"/>
  <c r="CB2" i="1"/>
  <c r="CA2" i="1"/>
  <c r="BY2" i="1"/>
  <c r="BX2" i="1"/>
  <c r="BW2" i="1"/>
  <c r="CI15" i="1" l="1"/>
  <c r="CE132" i="1"/>
  <c r="CI132" i="1" s="1"/>
  <c r="CE96" i="1"/>
  <c r="CI96" i="1" s="1"/>
  <c r="CE153" i="1"/>
  <c r="CI153" i="1" s="1"/>
  <c r="CE33" i="1"/>
  <c r="CI33" i="1" s="1"/>
  <c r="CE109" i="1"/>
  <c r="CI109" i="1" s="1"/>
  <c r="CE121" i="1"/>
  <c r="CI121" i="1" s="1"/>
  <c r="CE25" i="1"/>
  <c r="CI25" i="1" s="1"/>
  <c r="CE50" i="1"/>
  <c r="CI50" i="1" s="1"/>
  <c r="CE18" i="1"/>
  <c r="CI18" i="1" s="1"/>
  <c r="CE91" i="1"/>
  <c r="CI91" i="1" s="1"/>
  <c r="CE58" i="1"/>
  <c r="CI58" i="1" s="1"/>
  <c r="CE123" i="1"/>
  <c r="CI123" i="1" s="1"/>
  <c r="CE127" i="1"/>
  <c r="CI127" i="1" s="1"/>
  <c r="CE150" i="1"/>
  <c r="CI150" i="1" s="1"/>
  <c r="CE156" i="1"/>
  <c r="CI156" i="1" s="1"/>
  <c r="CE22" i="1"/>
  <c r="CI22" i="1" s="1"/>
  <c r="CE136" i="1"/>
  <c r="CI136" i="1" s="1"/>
  <c r="CE4" i="1"/>
  <c r="CI4" i="1" s="1"/>
  <c r="CE11" i="1"/>
  <c r="CI11" i="1" s="1"/>
  <c r="CE115" i="1"/>
  <c r="CI115" i="1" s="1"/>
  <c r="CE19" i="1"/>
  <c r="CI19" i="1" s="1"/>
  <c r="CE118" i="1"/>
  <c r="CI118" i="1" s="1"/>
  <c r="CE9" i="1"/>
  <c r="CI9" i="1" s="1"/>
  <c r="CE15" i="1"/>
  <c r="CE155" i="1"/>
  <c r="CI155" i="1" s="1"/>
  <c r="CE44" i="1"/>
  <c r="CI44" i="1" s="1"/>
  <c r="CE62" i="1"/>
  <c r="CI62" i="1" s="1"/>
  <c r="CE94" i="1"/>
  <c r="CI94" i="1" s="1"/>
  <c r="CE103" i="1"/>
  <c r="CI103" i="1" s="1"/>
  <c r="CE37" i="1"/>
  <c r="CI37" i="1" s="1"/>
  <c r="CE129" i="1"/>
  <c r="CI129" i="1" s="1"/>
  <c r="CE138" i="1"/>
  <c r="CI138" i="1" s="1"/>
  <c r="CE147" i="1"/>
  <c r="CI147" i="1" s="1"/>
  <c r="CE152" i="1"/>
  <c r="CI152" i="1" s="1"/>
  <c r="CE148" i="1"/>
  <c r="CI148" i="1" s="1"/>
  <c r="CE140" i="1"/>
  <c r="CI140" i="1" s="1"/>
  <c r="CE48" i="1"/>
  <c r="CI48" i="1" s="1"/>
  <c r="CE40" i="1"/>
  <c r="CI40" i="1" s="1"/>
  <c r="CE77" i="1"/>
  <c r="CI77" i="1" s="1"/>
  <c r="CE107" i="1"/>
  <c r="CI107" i="1" s="1"/>
  <c r="CE82" i="1"/>
  <c r="CI82" i="1" s="1"/>
  <c r="CE13" i="1"/>
  <c r="CI13" i="1" s="1"/>
  <c r="CE23" i="1"/>
  <c r="CI23" i="1" s="1"/>
  <c r="CE27" i="1"/>
  <c r="CI27" i="1" s="1"/>
  <c r="CE64" i="1"/>
  <c r="CI64" i="1" s="1"/>
  <c r="CE74" i="1"/>
  <c r="CI74" i="1" s="1"/>
  <c r="CE7" i="1"/>
  <c r="CI7" i="1" s="1"/>
  <c r="CE67" i="1"/>
  <c r="CI67" i="1" s="1"/>
  <c r="CE85" i="1"/>
  <c r="CI85" i="1" s="1"/>
  <c r="CE87" i="1"/>
  <c r="CI87" i="1" s="1"/>
  <c r="CE110" i="1"/>
  <c r="CI110" i="1" s="1"/>
  <c r="CE119" i="1"/>
  <c r="CI119" i="1" s="1"/>
  <c r="CE124" i="1"/>
  <c r="CI124" i="1" s="1"/>
  <c r="CE41" i="1"/>
  <c r="CI41" i="1" s="1"/>
  <c r="CE106" i="1"/>
  <c r="CI106" i="1" s="1"/>
  <c r="CE114" i="1"/>
  <c r="CI114" i="1" s="1"/>
  <c r="CE142" i="1"/>
  <c r="CI142" i="1" s="1"/>
  <c r="CE30" i="1"/>
  <c r="CI30" i="1" s="1"/>
  <c r="CE71" i="1"/>
  <c r="CI71" i="1" s="1"/>
  <c r="CE43" i="1"/>
  <c r="CI43" i="1" s="1"/>
  <c r="CE56" i="1"/>
  <c r="CI56" i="1" s="1"/>
  <c r="CE3" i="1"/>
  <c r="CI3" i="1" s="1"/>
  <c r="CE81" i="1"/>
  <c r="CI81" i="1" s="1"/>
  <c r="CE65" i="1"/>
  <c r="CI65" i="1" s="1"/>
  <c r="CE45" i="1"/>
  <c r="CI45" i="1" s="1"/>
  <c r="CE52" i="1"/>
  <c r="CI52" i="1" s="1"/>
  <c r="CE83" i="1"/>
  <c r="CI83" i="1" s="1"/>
  <c r="CE130" i="1"/>
  <c r="CI130" i="1" s="1"/>
  <c r="CE47" i="1"/>
  <c r="CI47" i="1" s="1"/>
  <c r="CE144" i="1"/>
  <c r="CI144" i="1" s="1"/>
  <c r="CE26" i="1"/>
  <c r="CI26" i="1" s="1"/>
  <c r="CE31" i="1"/>
  <c r="CI31" i="1" s="1"/>
  <c r="CE72" i="1"/>
  <c r="CI72" i="1" s="1"/>
  <c r="CE79" i="1"/>
  <c r="CI79" i="1" s="1"/>
  <c r="CE80" i="1"/>
  <c r="CI80" i="1" s="1"/>
  <c r="CE95" i="1"/>
  <c r="CI95" i="1" s="1"/>
  <c r="CE54" i="1"/>
  <c r="CI54" i="1" s="1"/>
  <c r="CE159" i="1"/>
  <c r="CI159" i="1" s="1"/>
  <c r="CE8" i="1"/>
  <c r="CI8" i="1" s="1"/>
  <c r="CE38" i="1"/>
  <c r="CI38" i="1" s="1"/>
  <c r="CE63" i="1"/>
  <c r="CI63" i="1" s="1"/>
  <c r="CE70" i="1"/>
  <c r="CI70" i="1" s="1"/>
  <c r="CE76" i="1"/>
  <c r="CI76" i="1" s="1"/>
  <c r="CE102" i="1"/>
  <c r="CI102" i="1" s="1"/>
  <c r="CE108" i="1"/>
  <c r="CI108" i="1" s="1"/>
  <c r="CE128" i="1"/>
  <c r="CI128" i="1" s="1"/>
  <c r="CE158" i="1"/>
  <c r="CI158" i="1" s="1"/>
  <c r="CE146" i="1"/>
  <c r="CI146" i="1" s="1"/>
  <c r="CE5" i="1"/>
  <c r="CI5" i="1" s="1"/>
  <c r="CE55" i="1"/>
  <c r="CI55" i="1" s="1"/>
  <c r="CE6" i="1"/>
  <c r="CI6" i="1" s="1"/>
  <c r="CE97" i="1"/>
  <c r="CI97" i="1" s="1"/>
  <c r="CE16" i="1"/>
  <c r="CI16" i="1" s="1"/>
  <c r="CE20" i="1"/>
  <c r="CI20" i="1" s="1"/>
  <c r="CE34" i="1"/>
  <c r="CI34" i="1" s="1"/>
  <c r="CE39" i="1"/>
  <c r="CI39" i="1" s="1"/>
  <c r="CE46" i="1"/>
  <c r="CI46" i="1" s="1"/>
  <c r="CE73" i="1"/>
  <c r="CI73" i="1" s="1"/>
  <c r="CE92" i="1"/>
  <c r="CI92" i="1" s="1"/>
  <c r="CE93" i="1"/>
  <c r="CI93" i="1" s="1"/>
  <c r="CE100" i="1"/>
  <c r="CI100" i="1" s="1"/>
  <c r="CE122" i="1"/>
  <c r="CI122" i="1" s="1"/>
  <c r="CE28" i="1"/>
  <c r="CI28" i="1" s="1"/>
  <c r="CE157" i="1"/>
  <c r="CI157" i="1" s="1"/>
  <c r="CE14" i="1"/>
  <c r="CI14" i="1" s="1"/>
  <c r="CE24" i="1"/>
  <c r="CI24" i="1" s="1"/>
  <c r="CE36" i="1"/>
  <c r="CI36" i="1" s="1"/>
  <c r="CE32" i="1"/>
  <c r="CI32" i="1" s="1"/>
  <c r="CE42" i="1"/>
  <c r="CI42" i="1" s="1"/>
  <c r="CE51" i="1"/>
  <c r="CI51" i="1" s="1"/>
  <c r="CE69" i="1"/>
  <c r="CI69" i="1" s="1"/>
  <c r="CE75" i="1"/>
  <c r="CI75" i="1" s="1"/>
  <c r="CE104" i="1"/>
  <c r="CI104" i="1" s="1"/>
  <c r="CE99" i="1"/>
  <c r="CI99" i="1" s="1"/>
  <c r="CE111" i="1"/>
  <c r="CI111" i="1" s="1"/>
  <c r="CE125" i="1"/>
  <c r="CI125" i="1" s="1"/>
  <c r="CE139" i="1"/>
  <c r="CI139" i="1" s="1"/>
  <c r="CE88" i="1"/>
  <c r="CI88" i="1" s="1"/>
  <c r="CE145" i="1"/>
  <c r="CI145" i="1" s="1"/>
  <c r="CE10" i="1"/>
  <c r="CI10" i="1" s="1"/>
  <c r="CE21" i="1"/>
  <c r="CI21" i="1" s="1"/>
  <c r="CE49" i="1"/>
  <c r="CI49" i="1" s="1"/>
  <c r="CE60" i="1"/>
  <c r="CI60" i="1" s="1"/>
  <c r="CE105" i="1"/>
  <c r="CI105" i="1" s="1"/>
  <c r="CE126" i="1"/>
  <c r="CI126" i="1" s="1"/>
  <c r="CE134" i="1"/>
  <c r="CI134" i="1" s="1"/>
  <c r="CE149" i="1"/>
  <c r="CI149" i="1" s="1"/>
  <c r="CE154" i="1"/>
  <c r="CI154" i="1" s="1"/>
  <c r="CE160" i="1"/>
  <c r="CI160" i="1" s="1"/>
  <c r="CE116" i="1"/>
  <c r="CI116" i="1" s="1"/>
  <c r="CE135" i="1"/>
  <c r="CI135" i="1" s="1"/>
  <c r="CE143" i="1"/>
  <c r="CI143" i="1" s="1"/>
  <c r="CE2" i="1"/>
  <c r="CI2" i="1" s="1"/>
  <c r="CE17" i="1"/>
  <c r="CI17" i="1" s="1"/>
  <c r="CE12" i="1"/>
  <c r="CI12" i="1" s="1"/>
  <c r="CE29" i="1"/>
  <c r="CI29" i="1" s="1"/>
  <c r="CE53" i="1"/>
  <c r="CI53" i="1" s="1"/>
  <c r="CE57" i="1"/>
  <c r="CI57" i="1" s="1"/>
  <c r="CE68" i="1"/>
  <c r="CI68" i="1" s="1"/>
  <c r="CE78" i="1"/>
  <c r="CI78" i="1" s="1"/>
  <c r="CE90" i="1"/>
  <c r="CI90" i="1" s="1"/>
  <c r="CE112" i="1"/>
  <c r="CI112" i="1" s="1"/>
  <c r="CE113" i="1"/>
  <c r="CI113" i="1" s="1"/>
  <c r="CE117" i="1"/>
  <c r="CI117" i="1" s="1"/>
  <c r="CE137" i="1"/>
  <c r="CI137" i="1" s="1"/>
  <c r="CE151" i="1"/>
  <c r="CI151" i="1" s="1"/>
  <c r="M4" i="1" l="1"/>
  <c r="M43" i="1"/>
  <c r="M3" i="1"/>
  <c r="M8" i="1"/>
  <c r="M6" i="1"/>
  <c r="M7" i="1"/>
  <c r="M9" i="1"/>
  <c r="M10" i="1"/>
  <c r="M11" i="1"/>
  <c r="M18" i="1"/>
  <c r="M16" i="1"/>
  <c r="M13" i="1"/>
  <c r="M21" i="1"/>
  <c r="M14" i="1"/>
  <c r="M25" i="1"/>
  <c r="M22" i="1"/>
  <c r="M19" i="1"/>
  <c r="M26" i="1"/>
  <c r="M23" i="1"/>
  <c r="M24" i="1"/>
  <c r="M17" i="1"/>
  <c r="M15" i="1"/>
  <c r="M12" i="1"/>
  <c r="M20" i="1"/>
  <c r="M81" i="1"/>
  <c r="M31" i="1"/>
  <c r="M27" i="1"/>
  <c r="M35" i="1"/>
  <c r="M141" i="1"/>
  <c r="M29" i="1"/>
  <c r="M30" i="1"/>
  <c r="M34" i="1"/>
  <c r="M33" i="1"/>
  <c r="M36" i="1"/>
  <c r="M65" i="1"/>
  <c r="M37" i="1"/>
  <c r="M38" i="1"/>
  <c r="M39" i="1"/>
  <c r="M32" i="1"/>
  <c r="M41" i="1"/>
  <c r="M42" i="1"/>
  <c r="M44" i="1"/>
  <c r="M45" i="1"/>
  <c r="M132" i="1"/>
  <c r="M46" i="1"/>
  <c r="M48" i="1"/>
  <c r="M49" i="1"/>
  <c r="M51" i="1"/>
  <c r="M50" i="1"/>
  <c r="M52" i="1"/>
  <c r="M53" i="1"/>
  <c r="M58" i="1"/>
  <c r="M55" i="1"/>
  <c r="M40" i="1"/>
  <c r="M56" i="1"/>
  <c r="M60" i="1"/>
  <c r="M61" i="1"/>
  <c r="M62" i="1"/>
  <c r="M57" i="1"/>
  <c r="M59" i="1"/>
  <c r="M63" i="1"/>
  <c r="M66" i="1"/>
  <c r="M64" i="1"/>
  <c r="M67" i="1"/>
  <c r="M69" i="1"/>
  <c r="M68" i="1"/>
  <c r="M71" i="1"/>
  <c r="M72" i="1"/>
  <c r="M70" i="1"/>
  <c r="M73" i="1"/>
  <c r="M74" i="1"/>
  <c r="M75" i="1"/>
  <c r="M77" i="1"/>
  <c r="M76" i="1"/>
  <c r="M78" i="1"/>
  <c r="M79" i="1"/>
  <c r="M83" i="1"/>
  <c r="M80" i="1"/>
  <c r="M84" i="1"/>
  <c r="M85" i="1"/>
  <c r="M89" i="1"/>
  <c r="M86" i="1"/>
  <c r="M87" i="1"/>
  <c r="M90" i="1"/>
  <c r="M94" i="1"/>
  <c r="M92" i="1"/>
  <c r="M103" i="1"/>
  <c r="M104" i="1"/>
  <c r="M95" i="1"/>
  <c r="M96" i="1"/>
  <c r="M101" i="1"/>
  <c r="M102" i="1"/>
  <c r="M93" i="1"/>
  <c r="M99" i="1"/>
  <c r="M98" i="1"/>
  <c r="M91" i="1"/>
  <c r="M100" i="1"/>
  <c r="M97" i="1"/>
  <c r="M105" i="1"/>
  <c r="M111" i="1"/>
  <c r="M109" i="1"/>
  <c r="M112" i="1"/>
  <c r="M108" i="1"/>
  <c r="M106" i="1"/>
  <c r="M107" i="1"/>
  <c r="M121" i="1"/>
  <c r="M110" i="1"/>
  <c r="M113" i="1"/>
  <c r="M114" i="1"/>
  <c r="M115" i="1"/>
  <c r="M118" i="1"/>
  <c r="M123" i="1"/>
  <c r="M116" i="1"/>
  <c r="M117" i="1"/>
  <c r="M119" i="1"/>
  <c r="M122" i="1"/>
  <c r="M120" i="1"/>
  <c r="M124" i="1"/>
  <c r="M125" i="1"/>
  <c r="M126" i="1"/>
  <c r="M127" i="1"/>
  <c r="M128" i="1"/>
  <c r="M130" i="1"/>
  <c r="M134" i="1"/>
  <c r="M139" i="1"/>
  <c r="M131" i="1"/>
  <c r="M136" i="1"/>
  <c r="M137" i="1"/>
  <c r="M133" i="1"/>
  <c r="M158" i="1"/>
  <c r="M82" i="1"/>
  <c r="M47" i="1"/>
  <c r="M88" i="1"/>
  <c r="M129" i="1"/>
  <c r="M135" i="1"/>
  <c r="M138" i="1"/>
  <c r="M28" i="1"/>
  <c r="M140" i="1"/>
  <c r="M144" i="1"/>
  <c r="M149" i="1"/>
  <c r="M143" i="1"/>
  <c r="M142" i="1"/>
  <c r="M146" i="1"/>
  <c r="M147" i="1"/>
  <c r="M148" i="1"/>
  <c r="M145" i="1"/>
  <c r="M150" i="1"/>
  <c r="M151" i="1"/>
  <c r="M5" i="1"/>
  <c r="M54" i="1"/>
  <c r="M153" i="1"/>
  <c r="M152" i="1"/>
  <c r="M154" i="1"/>
  <c r="M155" i="1"/>
  <c r="M156" i="1"/>
  <c r="M157" i="1"/>
  <c r="M159" i="1"/>
  <c r="M160" i="1"/>
  <c r="M2" i="1"/>
  <c r="L4" i="1"/>
  <c r="L43" i="1"/>
  <c r="L3" i="1"/>
  <c r="L8" i="1"/>
  <c r="L6" i="1"/>
  <c r="L7" i="1"/>
  <c r="L9" i="1"/>
  <c r="L10" i="1"/>
  <c r="L11" i="1"/>
  <c r="L18" i="1"/>
  <c r="L16" i="1"/>
  <c r="L13" i="1"/>
  <c r="L21" i="1"/>
  <c r="L14" i="1"/>
  <c r="L25" i="1"/>
  <c r="L22" i="1"/>
  <c r="L19" i="1"/>
  <c r="L26" i="1"/>
  <c r="L23" i="1"/>
  <c r="L24" i="1"/>
  <c r="L17" i="1"/>
  <c r="L15" i="1"/>
  <c r="L12" i="1"/>
  <c r="L20" i="1"/>
  <c r="L81" i="1"/>
  <c r="L31" i="1"/>
  <c r="L27" i="1"/>
  <c r="L35" i="1"/>
  <c r="L141" i="1"/>
  <c r="L29" i="1"/>
  <c r="L30" i="1"/>
  <c r="L34" i="1"/>
  <c r="L33" i="1"/>
  <c r="L36" i="1"/>
  <c r="L65" i="1"/>
  <c r="L37" i="1"/>
  <c r="L38" i="1"/>
  <c r="L39" i="1"/>
  <c r="L32" i="1"/>
  <c r="L41" i="1"/>
  <c r="L42" i="1"/>
  <c r="L44" i="1"/>
  <c r="L45" i="1"/>
  <c r="L132" i="1"/>
  <c r="L46" i="1"/>
  <c r="L48" i="1"/>
  <c r="L49" i="1"/>
  <c r="L51" i="1"/>
  <c r="L50" i="1"/>
  <c r="L52" i="1"/>
  <c r="L53" i="1"/>
  <c r="L58" i="1"/>
  <c r="L55" i="1"/>
  <c r="L40" i="1"/>
  <c r="L56" i="1"/>
  <c r="L60" i="1"/>
  <c r="L61" i="1"/>
  <c r="L62" i="1"/>
  <c r="L57" i="1"/>
  <c r="L59" i="1"/>
  <c r="L63" i="1"/>
  <c r="L66" i="1"/>
  <c r="L64" i="1"/>
  <c r="L67" i="1"/>
  <c r="L69" i="1"/>
  <c r="L68" i="1"/>
  <c r="L71" i="1"/>
  <c r="L72" i="1"/>
  <c r="L70" i="1"/>
  <c r="L73" i="1"/>
  <c r="L74" i="1"/>
  <c r="L75" i="1"/>
  <c r="L77" i="1"/>
  <c r="L76" i="1"/>
  <c r="L78" i="1"/>
  <c r="L79" i="1"/>
  <c r="L83" i="1"/>
  <c r="L80" i="1"/>
  <c r="L84" i="1"/>
  <c r="L85" i="1"/>
  <c r="L89" i="1"/>
  <c r="L86" i="1"/>
  <c r="L87" i="1"/>
  <c r="L90" i="1"/>
  <c r="L94" i="1"/>
  <c r="L92" i="1"/>
  <c r="L103" i="1"/>
  <c r="L104" i="1"/>
  <c r="L95" i="1"/>
  <c r="L96" i="1"/>
  <c r="L101" i="1"/>
  <c r="L102" i="1"/>
  <c r="L93" i="1"/>
  <c r="L99" i="1"/>
  <c r="L98" i="1"/>
  <c r="L91" i="1"/>
  <c r="L100" i="1"/>
  <c r="L97" i="1"/>
  <c r="L105" i="1"/>
  <c r="L111" i="1"/>
  <c r="L109" i="1"/>
  <c r="L112" i="1"/>
  <c r="L108" i="1"/>
  <c r="L106" i="1"/>
  <c r="L107" i="1"/>
  <c r="L121" i="1"/>
  <c r="L110" i="1"/>
  <c r="L113" i="1"/>
  <c r="L114" i="1"/>
  <c r="L115" i="1"/>
  <c r="L118" i="1"/>
  <c r="L123" i="1"/>
  <c r="L116" i="1"/>
  <c r="L117" i="1"/>
  <c r="L119" i="1"/>
  <c r="L122" i="1"/>
  <c r="L120" i="1"/>
  <c r="L124" i="1"/>
  <c r="L125" i="1"/>
  <c r="L126" i="1"/>
  <c r="L127" i="1"/>
  <c r="L128" i="1"/>
  <c r="L130" i="1"/>
  <c r="L134" i="1"/>
  <c r="L139" i="1"/>
  <c r="L131" i="1"/>
  <c r="L136" i="1"/>
  <c r="L137" i="1"/>
  <c r="L133" i="1"/>
  <c r="L158" i="1"/>
  <c r="L82" i="1"/>
  <c r="L47" i="1"/>
  <c r="L88" i="1"/>
  <c r="L129" i="1"/>
  <c r="L135" i="1"/>
  <c r="L138" i="1"/>
  <c r="L28" i="1"/>
  <c r="L140" i="1"/>
  <c r="L144" i="1"/>
  <c r="L149" i="1"/>
  <c r="L143" i="1"/>
  <c r="L142" i="1"/>
  <c r="L146" i="1"/>
  <c r="L147" i="1"/>
  <c r="L148" i="1"/>
  <c r="L145" i="1"/>
  <c r="L150" i="1"/>
  <c r="L151" i="1"/>
  <c r="L5" i="1"/>
  <c r="L54" i="1"/>
  <c r="L153" i="1"/>
  <c r="L152" i="1"/>
  <c r="L154" i="1"/>
  <c r="L155" i="1"/>
  <c r="L156" i="1"/>
  <c r="L157" i="1"/>
  <c r="L159" i="1"/>
  <c r="L160" i="1"/>
  <c r="K4" i="1"/>
  <c r="K43" i="1"/>
  <c r="K3" i="1"/>
  <c r="K8" i="1"/>
  <c r="K6" i="1"/>
  <c r="K7" i="1"/>
  <c r="K9" i="1"/>
  <c r="K10" i="1"/>
  <c r="K11" i="1"/>
  <c r="K18" i="1"/>
  <c r="K16" i="1"/>
  <c r="K13" i="1"/>
  <c r="K21" i="1"/>
  <c r="K14" i="1"/>
  <c r="K25" i="1"/>
  <c r="K22" i="1"/>
  <c r="K19" i="1"/>
  <c r="K26" i="1"/>
  <c r="K23" i="1"/>
  <c r="K24" i="1"/>
  <c r="K17" i="1"/>
  <c r="K15" i="1"/>
  <c r="K12" i="1"/>
  <c r="K20" i="1"/>
  <c r="K81" i="1"/>
  <c r="K31" i="1"/>
  <c r="K27" i="1"/>
  <c r="K35" i="1"/>
  <c r="K141" i="1"/>
  <c r="K29" i="1"/>
  <c r="K30" i="1"/>
  <c r="K34" i="1"/>
  <c r="K33" i="1"/>
  <c r="K36" i="1"/>
  <c r="K65" i="1"/>
  <c r="K37" i="1"/>
  <c r="K38" i="1"/>
  <c r="K39" i="1"/>
  <c r="K32" i="1"/>
  <c r="K41" i="1"/>
  <c r="K42" i="1"/>
  <c r="K44" i="1"/>
  <c r="K45" i="1"/>
  <c r="K132" i="1"/>
  <c r="K46" i="1"/>
  <c r="K48" i="1"/>
  <c r="K49" i="1"/>
  <c r="K51" i="1"/>
  <c r="K50" i="1"/>
  <c r="K52" i="1"/>
  <c r="K53" i="1"/>
  <c r="K58" i="1"/>
  <c r="K55" i="1"/>
  <c r="K40" i="1"/>
  <c r="K56" i="1"/>
  <c r="K60" i="1"/>
  <c r="K61" i="1"/>
  <c r="K62" i="1"/>
  <c r="K57" i="1"/>
  <c r="K59" i="1"/>
  <c r="K63" i="1"/>
  <c r="K66" i="1"/>
  <c r="K64" i="1"/>
  <c r="K67" i="1"/>
  <c r="K69" i="1"/>
  <c r="K68" i="1"/>
  <c r="K71" i="1"/>
  <c r="K72" i="1"/>
  <c r="K70" i="1"/>
  <c r="K73" i="1"/>
  <c r="K74" i="1"/>
  <c r="K75" i="1"/>
  <c r="K77" i="1"/>
  <c r="K76" i="1"/>
  <c r="K78" i="1"/>
  <c r="K79" i="1"/>
  <c r="K83" i="1"/>
  <c r="K80" i="1"/>
  <c r="K84" i="1"/>
  <c r="K85" i="1"/>
  <c r="K89" i="1"/>
  <c r="K86" i="1"/>
  <c r="K87" i="1"/>
  <c r="K90" i="1"/>
  <c r="K94" i="1"/>
  <c r="K92" i="1"/>
  <c r="K103" i="1"/>
  <c r="K104" i="1"/>
  <c r="K95" i="1"/>
  <c r="K96" i="1"/>
  <c r="K101" i="1"/>
  <c r="K102" i="1"/>
  <c r="K93" i="1"/>
  <c r="K99" i="1"/>
  <c r="K98" i="1"/>
  <c r="K91" i="1"/>
  <c r="K100" i="1"/>
  <c r="K97" i="1"/>
  <c r="K105" i="1"/>
  <c r="K111" i="1"/>
  <c r="K109" i="1"/>
  <c r="K112" i="1"/>
  <c r="K108" i="1"/>
  <c r="K106" i="1"/>
  <c r="K107" i="1"/>
  <c r="K121" i="1"/>
  <c r="K110" i="1"/>
  <c r="K113" i="1"/>
  <c r="K114" i="1"/>
  <c r="K115" i="1"/>
  <c r="K118" i="1"/>
  <c r="K123" i="1"/>
  <c r="K116" i="1"/>
  <c r="K117" i="1"/>
  <c r="K119" i="1"/>
  <c r="K122" i="1"/>
  <c r="K120" i="1"/>
  <c r="K124" i="1"/>
  <c r="K125" i="1"/>
  <c r="K126" i="1"/>
  <c r="K127" i="1"/>
  <c r="K128" i="1"/>
  <c r="K130" i="1"/>
  <c r="K134" i="1"/>
  <c r="K139" i="1"/>
  <c r="K131" i="1"/>
  <c r="K136" i="1"/>
  <c r="K137" i="1"/>
  <c r="K133" i="1"/>
  <c r="K158" i="1"/>
  <c r="K82" i="1"/>
  <c r="K47" i="1"/>
  <c r="K88" i="1"/>
  <c r="K129" i="1"/>
  <c r="K135" i="1"/>
  <c r="K138" i="1"/>
  <c r="K28" i="1"/>
  <c r="K140" i="1"/>
  <c r="K144" i="1"/>
  <c r="K149" i="1"/>
  <c r="K143" i="1"/>
  <c r="K142" i="1"/>
  <c r="K146" i="1"/>
  <c r="K147" i="1"/>
  <c r="K148" i="1"/>
  <c r="K145" i="1"/>
  <c r="K150" i="1"/>
  <c r="K151" i="1"/>
  <c r="K5" i="1"/>
  <c r="K54" i="1"/>
  <c r="K153" i="1"/>
  <c r="K152" i="1"/>
  <c r="K154" i="1"/>
  <c r="K155" i="1"/>
  <c r="K156" i="1"/>
  <c r="K157" i="1"/>
  <c r="K159" i="1"/>
  <c r="K160" i="1"/>
  <c r="L2" i="1"/>
  <c r="K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I1" authorId="0" shapeId="0" xr:uid="{00000000-0006-0000-0000-000001000000}">
      <text>
        <r>
          <rPr>
            <b/>
            <sz val="11"/>
            <color indexed="81"/>
            <rFont val="宋体"/>
            <family val="3"/>
            <charset val="134"/>
          </rPr>
          <t>Average 2000-2010</t>
        </r>
        <r>
          <rPr>
            <sz val="11"/>
            <color indexed="81"/>
            <rFont val="宋体"/>
            <family val="3"/>
            <charset val="134"/>
          </rPr>
          <t xml:space="preserve">
</t>
        </r>
      </text>
    </comment>
    <comment ref="J1" authorId="0" shapeId="0" xr:uid="{00000000-0006-0000-0000-000002000000}">
      <text>
        <r>
          <rPr>
            <b/>
            <sz val="11"/>
            <color indexed="81"/>
            <rFont val="宋体"/>
            <family val="3"/>
            <charset val="134"/>
          </rPr>
          <t>Data from Siebert et al.2013</t>
        </r>
        <r>
          <rPr>
            <sz val="11"/>
            <color indexed="81"/>
            <rFont val="宋体"/>
            <family val="3"/>
            <charset val="134"/>
          </rPr>
          <t xml:space="preserve">
</t>
        </r>
      </text>
    </comment>
    <comment ref="BH1" authorId="0" shapeId="0" xr:uid="{00000000-0006-0000-0000-000003000000}">
      <text>
        <r>
          <rPr>
            <sz val="9"/>
            <color indexed="81"/>
            <rFont val="Times New Roman"/>
            <family val="1"/>
          </rPr>
          <t>Pink areas represent that the data from BP Statistical Review of World Energy (https://www.bp.com/) and Ember (https://ember-climate.org/)</t>
        </r>
        <r>
          <rPr>
            <sz val="11"/>
            <color indexed="81"/>
            <rFont val="宋体"/>
            <family val="3"/>
            <charset val="134"/>
          </rPr>
          <t xml:space="preserve">
</t>
        </r>
      </text>
    </comment>
    <comment ref="BM1" authorId="0" shapeId="0" xr:uid="{00000000-0006-0000-0000-000004000000}">
      <text>
        <r>
          <rPr>
            <sz val="9"/>
            <color indexed="81"/>
            <rFont val="Times New Roman"/>
            <family val="1"/>
          </rPr>
          <t>Data from Siebert et al. 2010</t>
        </r>
      </text>
    </comment>
  </commentList>
</comments>
</file>

<file path=xl/sharedStrings.xml><?xml version="1.0" encoding="utf-8"?>
<sst xmlns="http://schemas.openxmlformats.org/spreadsheetml/2006/main" count="2017" uniqueCount="526">
  <si>
    <t>AFG</t>
  </si>
  <si>
    <t>AGO</t>
  </si>
  <si>
    <t>ALB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</si>
  <si>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</si>
  <si>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</si>
  <si>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</si>
  <si>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</si>
  <si>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</si>
  <si>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</si>
  <si>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</si>
  <si>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</si>
  <si>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</si>
  <si>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</si>
  <si>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</si>
  <si>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</si>
  <si>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</si>
  <si>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</si>
  <si>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BIH</t>
  </si>
  <si>
    <t>BLR</t>
  </si>
  <si>
    <t>BLZ</t>
  </si>
  <si>
    <t>BOL</t>
  </si>
  <si>
    <t>BRA</t>
  </si>
  <si>
    <t>BRN</t>
  </si>
  <si>
    <t>BTN</t>
  </si>
  <si>
    <t>BWA</t>
  </si>
  <si>
    <t>CAN</t>
  </si>
  <si>
    <t>CHE</t>
  </si>
  <si>
    <t>CHL</t>
  </si>
  <si>
    <t>CHN</t>
  </si>
  <si>
    <t>CMR</t>
  </si>
  <si>
    <t>COD</t>
  </si>
  <si>
    <t>COG</t>
  </si>
  <si>
    <t>COL</t>
  </si>
  <si>
    <t>CPV</t>
  </si>
  <si>
    <t>CRI</t>
  </si>
  <si>
    <t>CUB</t>
  </si>
  <si>
    <t>CYP</t>
  </si>
  <si>
    <t>CZE</t>
  </si>
  <si>
    <t>DEU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</si>
  <si>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</si>
  <si>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</si>
  <si>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</si>
  <si>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</si>
  <si>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</si>
  <si>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</si>
  <si>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</si>
  <si>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</si>
  <si>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</si>
  <si>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</si>
  <si>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</si>
  <si>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</si>
  <si>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</si>
  <si>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</si>
  <si>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</si>
  <si>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</si>
  <si>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</si>
  <si>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</si>
  <si>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GNB</t>
  </si>
  <si>
    <t>GRC</t>
  </si>
  <si>
    <t>GRD</t>
  </si>
  <si>
    <t>GTM</t>
  </si>
  <si>
    <t>GUY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</si>
  <si>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</si>
  <si>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</si>
  <si>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</si>
  <si>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</si>
  <si>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</si>
  <si>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</si>
  <si>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</si>
  <si>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</si>
  <si>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</si>
  <si>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</si>
  <si>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</si>
  <si>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</si>
  <si>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</si>
  <si>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</si>
  <si>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</si>
  <si>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</si>
  <si>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</si>
  <si>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</si>
  <si>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</si>
  <si>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</si>
  <si>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</si>
  <si>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</si>
  <si>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</si>
  <si>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</si>
  <si>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LKA</t>
  </si>
  <si>
    <t>LSO</t>
  </si>
  <si>
    <t>LTU</t>
  </si>
  <si>
    <t>MAR</t>
  </si>
  <si>
    <t>MDG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</si>
  <si>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</si>
  <si>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</si>
  <si>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</si>
  <si>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</si>
  <si>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</si>
  <si>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</si>
  <si>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</si>
  <si>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</si>
  <si>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</si>
  <si>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</si>
  <si>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</si>
  <si>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</si>
  <si>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</si>
  <si>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</si>
  <si>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</si>
  <si>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</si>
  <si>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</si>
  <si>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</si>
  <si>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</si>
  <si>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</si>
  <si>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</si>
  <si>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</si>
  <si>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</si>
  <si>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</si>
  <si>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</si>
  <si>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</si>
  <si>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</si>
  <si>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PRI</t>
  </si>
  <si>
    <t>PRK</t>
  </si>
  <si>
    <t>PRT</t>
  </si>
  <si>
    <t>PRY</t>
  </si>
  <si>
    <t>QAT</t>
  </si>
  <si>
    <t>ROU</t>
  </si>
  <si>
    <t>RUS</t>
  </si>
  <si>
    <t>RWA</t>
  </si>
  <si>
    <t>SAU</t>
  </si>
  <si>
    <t>SDN</t>
  </si>
  <si>
    <t>SEN</t>
  </si>
  <si>
    <t>SLE</t>
  </si>
  <si>
    <t>SLV</t>
  </si>
  <si>
    <t>SOM</t>
  </si>
  <si>
    <t>SRB</t>
  </si>
  <si>
    <t>SUR</t>
  </si>
  <si>
    <t>SVK</t>
  </si>
  <si>
    <t>SVN</t>
  </si>
  <si>
    <t>SWE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</si>
  <si>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</si>
  <si>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</si>
  <si>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</si>
  <si>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</si>
  <si>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</si>
  <si>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</si>
  <si>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</si>
  <si>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</si>
  <si>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</si>
  <si>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</si>
  <si>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TZA</t>
  </si>
  <si>
    <t>UGA</t>
  </si>
  <si>
    <t>UKR</t>
  </si>
  <si>
    <t>URY</t>
  </si>
  <si>
    <t>USA</t>
  </si>
  <si>
    <t>UZB</t>
  </si>
  <si>
    <t>VEN</t>
  </si>
  <si>
    <t>VNM</t>
  </si>
  <si>
    <t>YEM</t>
  </si>
  <si>
    <t>ZAF</t>
  </si>
  <si>
    <t>ZMB</t>
  </si>
  <si>
    <t>ZWE</t>
  </si>
  <si>
    <t>Afghanistan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</si>
  <si>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</si>
  <si>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</si>
  <si>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</si>
  <si>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</si>
  <si>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</si>
  <si>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</si>
  <si>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</si>
  <si>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</si>
  <si>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</si>
  <si>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</si>
  <si>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</si>
  <si>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</si>
  <si>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</si>
  <si>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</si>
  <si>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</si>
  <si>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</si>
  <si>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</si>
  <si>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Byelarus</t>
  </si>
  <si>
    <t>Belize</t>
  </si>
  <si>
    <t>Bolivia</t>
  </si>
  <si>
    <t>Brazil</t>
  </si>
  <si>
    <t>Brunei</t>
  </si>
  <si>
    <t>Bhutan</t>
  </si>
  <si>
    <t>Botswana</t>
  </si>
  <si>
    <t>Canada</t>
  </si>
  <si>
    <t>Switzerland</t>
  </si>
  <si>
    <t>Chile</t>
  </si>
  <si>
    <t>China</t>
  </si>
  <si>
    <t>Cameroon</t>
  </si>
  <si>
    <t>Democratic Republic of Congo</t>
  </si>
  <si>
    <t>Congo</t>
  </si>
  <si>
    <t>Colombia</t>
  </si>
  <si>
    <t>Cape Verde</t>
  </si>
  <si>
    <t>Costa Rica</t>
  </si>
  <si>
    <t>Cuba</t>
  </si>
  <si>
    <t>Cyprus</t>
  </si>
  <si>
    <t>Czech Republic</t>
  </si>
  <si>
    <t>Germany</t>
  </si>
  <si>
    <t>Denmark</t>
  </si>
  <si>
    <t>Dominican Republic</t>
  </si>
  <si>
    <t>Algeria</t>
  </si>
  <si>
    <t>Ecuador</t>
  </si>
  <si>
    <t>Egypt</t>
  </si>
  <si>
    <t>Eritrea</t>
  </si>
  <si>
    <t>Spain</t>
  </si>
  <si>
    <t>Ethiopia</t>
  </si>
  <si>
    <t>Finland</t>
  </si>
  <si>
    <t>Fiji</t>
  </si>
  <si>
    <t>France</t>
  </si>
  <si>
    <t>Gabon</t>
  </si>
  <si>
    <t>United Kingdom</t>
  </si>
  <si>
    <t>Georgia</t>
  </si>
  <si>
    <t>Ghana</t>
  </si>
  <si>
    <t>Guinea</t>
  </si>
  <si>
    <t>Gambia, The</t>
  </si>
  <si>
    <t>Guinea-Bissau</t>
  </si>
  <si>
    <t>Greece</t>
  </si>
  <si>
    <t>Grenada</t>
  </si>
  <si>
    <t>Guatemala</t>
  </si>
  <si>
    <t>Guyana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</si>
  <si>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</si>
  <si>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</si>
  <si>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</si>
  <si>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</si>
  <si>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</si>
  <si>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</si>
  <si>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</si>
  <si>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</si>
  <si>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</si>
  <si>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</si>
  <si>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</si>
  <si>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</si>
  <si>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</si>
  <si>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</si>
  <si>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</si>
  <si>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</si>
  <si>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</si>
  <si>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</si>
  <si>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</si>
  <si>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</si>
  <si>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</si>
  <si>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</si>
  <si>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</si>
  <si>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</si>
  <si>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</si>
  <si>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Lesotho</t>
  </si>
  <si>
    <t>Lithuania</t>
  </si>
  <si>
    <t>Morocco</t>
  </si>
  <si>
    <t>Madagascar</t>
  </si>
  <si>
    <t>Mexico</t>
  </si>
  <si>
    <t>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</si>
  <si>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</si>
  <si>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</si>
  <si>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</si>
  <si>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</si>
  <si>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</si>
  <si>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</si>
  <si>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</si>
  <si>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</si>
  <si>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</si>
  <si>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</si>
  <si>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</si>
  <si>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</si>
  <si>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</si>
  <si>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</si>
  <si>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</si>
  <si>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</si>
  <si>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</si>
  <si>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New Zealand</t>
  </si>
  <si>
    <t>Oman</t>
  </si>
  <si>
    <t>Pakistan</t>
  </si>
  <si>
    <t>Panama</t>
  </si>
  <si>
    <t>Peru</t>
  </si>
  <si>
    <t>Philippines</t>
  </si>
  <si>
    <t>Papua New Guinea</t>
  </si>
  <si>
    <t>Poland</t>
  </si>
  <si>
    <t>Puerto Rico</t>
  </si>
  <si>
    <t>North Korea</t>
  </si>
  <si>
    <t>Portugal</t>
  </si>
  <si>
    <t>Paraguay</t>
  </si>
  <si>
    <t>Qatar</t>
  </si>
  <si>
    <t>Romania</t>
  </si>
  <si>
    <t>Russia</t>
  </si>
  <si>
    <t>Rwanda</t>
  </si>
  <si>
    <t>Saudi Arabia</t>
  </si>
  <si>
    <t>Sudan</t>
  </si>
  <si>
    <t>Senegal</t>
  </si>
  <si>
    <t>Sierra Leone</t>
  </si>
  <si>
    <t>El Salvador</t>
  </si>
  <si>
    <t>Somalia</t>
  </si>
  <si>
    <t>Serbia</t>
  </si>
  <si>
    <t>Suriname</t>
  </si>
  <si>
    <t>Slovakia</t>
  </si>
  <si>
    <t>Slovenia</t>
  </si>
  <si>
    <t>Sweden</t>
  </si>
  <si>
    <t>Seychelles</t>
  </si>
  <si>
    <t>Syria</t>
  </si>
  <si>
    <t>Chad</t>
  </si>
  <si>
    <t>Togo</t>
  </si>
  <si>
    <t>Thailand</t>
  </si>
  <si>
    <t>Tajikistan</t>
  </si>
  <si>
    <t>Turkmenistan</t>
  </si>
  <si>
    <t>Trinidad and Tobago</t>
  </si>
  <si>
    <t>Tunisia</t>
  </si>
  <si>
    <t>Turkey</t>
  </si>
  <si>
    <t>Tanzania, United Republic of</t>
  </si>
  <si>
    <t>Uganda</t>
  </si>
  <si>
    <t>Ukraine</t>
  </si>
  <si>
    <t>Uruguay</t>
  </si>
  <si>
    <t>United States</t>
  </si>
  <si>
    <t>Uzbekistan</t>
  </si>
  <si>
    <t>Venezuela</t>
  </si>
  <si>
    <t>Vietnam</t>
  </si>
  <si>
    <t>Yemen</t>
  </si>
  <si>
    <t>South Africa</t>
  </si>
  <si>
    <t>Zambia</t>
  </si>
  <si>
    <t>Zimbabwe</t>
  </si>
  <si>
    <t>Country Name</t>
  </si>
  <si>
    <r>
      <t>Total_Carbon_M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</si>
  <si>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 xml:space="preserve">Total_Energy_M 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</si>
  <si>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t>Country_Code</t>
  </si>
  <si>
    <t>Asia</t>
  </si>
  <si>
    <t>Southern Asia</t>
  </si>
  <si>
    <t>South Asia</t>
  </si>
  <si>
    <t>Europe</t>
  </si>
  <si>
    <t>Southern Europe</t>
  </si>
  <si>
    <t>Western Europe</t>
  </si>
  <si>
    <t>Africa</t>
  </si>
  <si>
    <t>Northern Africa</t>
  </si>
  <si>
    <t>Middle East and North Africa</t>
  </si>
  <si>
    <t>Middle Africa</t>
  </si>
  <si>
    <t>Sub-Saharan Africa</t>
  </si>
  <si>
    <t>North America</t>
  </si>
  <si>
    <t>Caribbean</t>
  </si>
  <si>
    <t>South America</t>
  </si>
  <si>
    <t>Western Asia</t>
  </si>
  <si>
    <t>Oceania</t>
  </si>
  <si>
    <t>Southeast Asia and Oceania</t>
  </si>
  <si>
    <t>Central America</t>
  </si>
  <si>
    <t>Latin America and Caribbean</t>
  </si>
  <si>
    <t>Western Africa</t>
  </si>
  <si>
    <t>Southern Africa</t>
  </si>
  <si>
    <t>South-Eastern Asia</t>
  </si>
  <si>
    <t>Eastern Europe</t>
  </si>
  <si>
    <t>Eastern Europe and Central Asia</t>
  </si>
  <si>
    <t>Eastern Africa</t>
  </si>
  <si>
    <t>Northern America</t>
  </si>
  <si>
    <t>Eastern Asia</t>
  </si>
  <si>
    <t>East Asia</t>
  </si>
  <si>
    <t>Northern Europe</t>
  </si>
  <si>
    <t>Central Asia</t>
  </si>
  <si>
    <t>Continent</t>
  </si>
  <si>
    <t>Sub_region</t>
  </si>
  <si>
    <t>Sub_region1</t>
  </si>
  <si>
    <t>Irrigation water use (m3)</t>
  </si>
  <si>
    <t>Irrigated area (ha)</t>
  </si>
  <si>
    <t>Energy intensity (GJ/ha)</t>
  </si>
  <si>
    <t>Carbon emission intensity (100 kg CO2/ha)</t>
  </si>
  <si>
    <t>Water use intensity (1000 m3/ha)</t>
  </si>
  <si>
    <t>Estonia</t>
    <phoneticPr fontId="2" type="noConversion"/>
  </si>
  <si>
    <t>Surface</t>
    <phoneticPr fontId="2" type="noConversion"/>
  </si>
  <si>
    <t>Sprinkler</t>
  </si>
  <si>
    <t>Drip</t>
  </si>
  <si>
    <r>
      <t>Emission_Factor_IEA (g CO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>/kWh)</t>
    </r>
    <phoneticPr fontId="2" type="noConversion"/>
  </si>
  <si>
    <r>
      <t>Surface water (m</t>
    </r>
    <r>
      <rPr>
        <vertAlign val="superscript"/>
        <sz val="9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>)</t>
    </r>
    <phoneticPr fontId="2" type="noConversion"/>
  </si>
  <si>
    <t>GW (%)</t>
  </si>
  <si>
    <t>SW (%)</t>
  </si>
  <si>
    <t>Groundwater table depth (m) ( derived from Fan et al.2013)</t>
    <phoneticPr fontId="2" type="noConversion"/>
  </si>
  <si>
    <r>
      <t>Groundwater (m</t>
    </r>
    <r>
      <rPr>
        <vertAlign val="superscript"/>
        <sz val="9"/>
        <color theme="1"/>
        <rFont val="Times New Roman"/>
        <family val="1"/>
      </rPr>
      <t>3</t>
    </r>
    <r>
      <rPr>
        <sz val="9"/>
        <color theme="1"/>
        <rFont val="Times New Roman"/>
        <family val="1"/>
      </rPr>
      <t>)</t>
    </r>
    <phoneticPr fontId="2" type="noConversion"/>
  </si>
  <si>
    <t xml:space="preserve"> Fuel (GJ/ha)</t>
  </si>
  <si>
    <t xml:space="preserve"> Machinery (GJ_ha)</t>
  </si>
  <si>
    <t>N (GJ/ha)</t>
  </si>
  <si>
    <t>P2O5 (GJ/ha)</t>
  </si>
  <si>
    <t>K2O (GJ/ha)</t>
  </si>
  <si>
    <t>N (kg/ha)</t>
  </si>
  <si>
    <t>P2O5 (kg/ha)</t>
  </si>
  <si>
    <t>K2O (kg/ha)</t>
  </si>
  <si>
    <t>N production and transport (kg CO2e/ha)</t>
  </si>
  <si>
    <t>P2O5 production and transport (kg CO2e/ha)</t>
  </si>
  <si>
    <t>K2O production and transport (kg CO2e/ha)</t>
  </si>
  <si>
    <t xml:space="preserve">Emissions factors (N2O_N) </t>
  </si>
  <si>
    <t>N_Use (kg CO2e/ha)</t>
  </si>
  <si>
    <t>Fuel (kg CO2/ha)</t>
  </si>
  <si>
    <t>Fuel (kg CO2e(CH4)/ha)</t>
  </si>
  <si>
    <t>Fuel (kg CO2e(N2O)/)ha</t>
  </si>
  <si>
    <t>Total fuel (kg CO2e/ha)</t>
  </si>
  <si>
    <t xml:space="preserve"> Machinery (kgCO2/ha)</t>
  </si>
  <si>
    <t>Cropland area (ha)</t>
  </si>
  <si>
    <t>Farm energy use (PJ)</t>
  </si>
  <si>
    <t>Farm carbon emissions (Mt CO2e)</t>
  </si>
  <si>
    <t>Na</t>
    <phoneticPr fontId="2" type="noConversion"/>
  </si>
  <si>
    <t>Na</t>
    <phoneticPr fontId="2" type="noConversion"/>
  </si>
  <si>
    <t>Na</t>
    <phoneticPr fontId="2" type="noConversion"/>
  </si>
  <si>
    <t>Na</t>
    <phoneticPr fontId="2" type="noConversion"/>
  </si>
  <si>
    <t>Na</t>
    <phoneticPr fontId="2" type="noConversion"/>
  </si>
  <si>
    <t>Na</t>
    <phoneticPr fontId="2" type="noConversion"/>
  </si>
  <si>
    <t>Na</t>
    <phoneticPr fontId="2" type="noConversion"/>
  </si>
  <si>
    <t>Na</t>
    <phoneticPr fontId="2" type="noConversion"/>
  </si>
  <si>
    <t>Na</t>
    <phoneticPr fontId="2" type="noConversion"/>
  </si>
  <si>
    <t>Na</t>
    <phoneticPr fontId="2" type="noConversion"/>
  </si>
  <si>
    <t>Potential of contribution of low-carbon electricity by 2050 (%)</t>
    <phoneticPr fontId="2" type="noConversion"/>
  </si>
  <si>
    <t>Emission factor Considering electricity trade (g CO2/kWh)</t>
    <phoneticPr fontId="2" type="noConversion"/>
  </si>
  <si>
    <r>
      <t>Groundwater_Energy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</si>
  <si>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Surface_Energy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</si>
  <si>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Electric_Groundwater_Energy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</si>
  <si>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Diesel_Surface 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</si>
  <si>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Electric_Surface_Energy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</si>
  <si>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Surface_Carbon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</si>
  <si>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Groundwater_Carbon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</si>
  <si>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Diesel_Groundwater_Carbon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</si>
  <si>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Electric_Groundwater_Carbon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</si>
  <si>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Diesel_Surface water_Carbon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</si>
  <si>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Diesel_Groundwater_Energy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</si>
  <si>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Drip_Diesel_Groundwater_Energy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</si>
  <si>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Sprinkler_Diesel_Groundwater_Energy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</si>
  <si>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Surface_Diesel_Groundwater_Energy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</si>
  <si>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Drip_Diesel_Surface 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</si>
  <si>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Sprinkler_Diesel_Surface 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</si>
  <si>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Surface_Diesel_Surface 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</si>
  <si>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Surface_Electric_Surface 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</si>
  <si>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Electric_Surface water_Carbon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</si>
  <si>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Surface_Electric_Surface water_Carbon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</si>
  <si>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Sprinkler_Electric_Surface 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</si>
  <si>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Drip_Electric_Surface 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</si>
  <si>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Surface_Diesel_Surface 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</si>
  <si>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Sprinkler_Diesel_Surface 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</si>
  <si>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Drip_Diesel_Surface 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</si>
  <si>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Surface_Diesel_Groundwater_Carbon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</si>
  <si>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Sprinkler_Diesel_Grounwater_Carbon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</si>
  <si>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Drip_Diesel_Groundwater_Carbon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</si>
  <si>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Surface_Electric_Groundwater_Carbon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</si>
  <si>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Sprinkler_Electric_Groundwater_Carbon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</si>
  <si>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Drip_Electric_Groundwater_Carbon 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</si>
  <si>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t>Potential of contribution of drip (%)</t>
    <phoneticPr fontId="2" type="noConversion"/>
  </si>
  <si>
    <t>Total potential of contribution (%)</t>
    <phoneticPr fontId="2" type="noConversion"/>
  </si>
  <si>
    <r>
      <t>Total_Carbon_3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Times New Roman"/>
        <family val="1"/>
      </rPr>
      <t xml:space="preserve">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</si>
  <si>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Total_Energy_3</t>
    </r>
    <r>
      <rPr>
        <sz val="11"/>
        <color theme="1"/>
        <rFont val="宋体"/>
        <family val="3"/>
        <charset val="134"/>
      </rPr>
      <t>℃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</si>
  <si>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t>Correct_factor (Electricity Trade)</t>
    <phoneticPr fontId="2" type="noConversion"/>
  </si>
  <si>
    <r>
      <t>NaturalGas_Groundwater_Energy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</si>
  <si>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NaturalGas_Surface_Energy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</si>
  <si>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NaturalGas_Groundwater_Carbon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</si>
  <si>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NaturalGas_Surface water_Carbon (Mt CO2</t>
    </r>
    <r>
      <rPr>
        <sz val="11"/>
        <color theme="1"/>
        <rFont val="宋体"/>
        <family val="3"/>
        <charset val="134"/>
      </rPr>
      <t>）</t>
    </r>
    <phoneticPr fontId="2" type="noConversion"/>
  </si>
  <si>
    <r>
      <t>Drip_Electric_Groundwater_Energy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</si>
  <si>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Sprinkler_Electric_Groundwater_Energy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</si>
  <si>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Surface_Electric_Groundwater_Energy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</si>
  <si>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Drip_Electric_Surface 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</si>
  <si>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r>
      <t>Sprinkler_Electric_Surface  water_Energy</t>
    </r>
    <r>
      <rPr>
        <sz val="11"/>
        <color theme="1"/>
        <rFont val="宋体"/>
        <family val="3"/>
        <charset val="134"/>
      </rPr>
      <t>（</t>
    </r>
    <r>
      <rPr>
        <sz val="11"/>
        <color theme="1"/>
        <rFont val="Times New Roman"/>
        <family val="1"/>
      </rPr>
      <t>TJ)</t>
    </r>
    <phoneticPr fontId="2" type="noConversion"/>
  </si>
  <si>
    <t>Na</t>
  </si>
  <si>
    <t>CO2 emissions from groundwater degassing caused by irrigation (Mt CO2)</t>
    <phoneticPr fontId="2" type="noConversion"/>
  </si>
  <si>
    <t>Country</t>
  </si>
  <si>
    <t>Estonia</t>
  </si>
  <si>
    <t>Surface</t>
  </si>
  <si>
    <t>Diesel pumping</t>
  </si>
  <si>
    <t>Electric pumping</t>
  </si>
  <si>
    <t>Q3+1.5IQR</t>
    <phoneticPr fontId="2" type="noConversion"/>
  </si>
  <si>
    <t>Q3</t>
    <phoneticPr fontId="2" type="noConversion"/>
  </si>
  <si>
    <t>mean</t>
    <phoneticPr fontId="2" type="noConversion"/>
  </si>
  <si>
    <t>Median</t>
    <phoneticPr fontId="2" type="noConversion"/>
  </si>
  <si>
    <t>Q1</t>
    <phoneticPr fontId="2" type="noConversion"/>
  </si>
  <si>
    <t>Q1-1.5IQR</t>
    <phoneticPr fontId="2" type="noConversion"/>
  </si>
  <si>
    <t>Q3+1.5IQR</t>
  </si>
  <si>
    <t>Q3</t>
  </si>
  <si>
    <t>mean</t>
  </si>
  <si>
    <t>Median</t>
  </si>
  <si>
    <t>Q1</t>
  </si>
  <si>
    <t>Q1-1.5IQR</t>
  </si>
  <si>
    <t>Current (2000-2010)</t>
  </si>
  <si>
    <t>Global</t>
  </si>
  <si>
    <r>
      <t>Future (3</t>
    </r>
    <r>
      <rPr>
        <sz val="11"/>
        <color theme="1"/>
        <rFont val="等线"/>
        <family val="2"/>
      </rPr>
      <t>℃</t>
    </r>
    <r>
      <rPr>
        <sz val="11"/>
        <color theme="1"/>
        <rFont val="Times New Roman"/>
        <family val="1"/>
      </rPr>
      <t xml:space="preserve"> warmer climate, circa 2050) from energy</t>
    </r>
  </si>
  <si>
    <t>Total energy consumption</t>
  </si>
  <si>
    <t>Groundwater pumping</t>
  </si>
  <si>
    <t>Surface water pumping</t>
  </si>
  <si>
    <t>Diesel pumping1</t>
  </si>
  <si>
    <t>Electric pumping1</t>
  </si>
  <si>
    <t>Drip1</t>
  </si>
  <si>
    <t>Sprinkler1</t>
  </si>
  <si>
    <t>Surface1</t>
  </si>
  <si>
    <t>Drip2</t>
  </si>
  <si>
    <t>Sprinkler2</t>
  </si>
  <si>
    <t>Surface2</t>
  </si>
  <si>
    <t>Drip3</t>
  </si>
  <si>
    <t>Sprinkler3</t>
  </si>
  <si>
    <t>Surface3</t>
  </si>
  <si>
    <t>Drip4</t>
  </si>
  <si>
    <t>Sprinkler4</t>
  </si>
  <si>
    <t>Surface4</t>
  </si>
  <si>
    <t>Total CO2 emissions</t>
  </si>
  <si>
    <t>Baseline (2000-2010)</t>
    <phoneticPr fontId="2" type="noConversion"/>
  </si>
  <si>
    <t>Irrigation system scenario</t>
    <phoneticPr fontId="2" type="noConversion"/>
  </si>
  <si>
    <t>Electric pumping scenario</t>
    <phoneticPr fontId="2" type="noConversion"/>
  </si>
  <si>
    <t>2000-2010 electricity mix</t>
    <phoneticPr fontId="2" type="noConversion"/>
  </si>
  <si>
    <t>Solar</t>
  </si>
  <si>
    <t>Wind</t>
  </si>
  <si>
    <t>Nuclear</t>
  </si>
  <si>
    <t>Hydropower</t>
  </si>
  <si>
    <t>Electricity mix in 2050</t>
    <phoneticPr fontId="2" type="noConversion"/>
  </si>
  <si>
    <t>Irrigation system scenario</t>
  </si>
  <si>
    <t>Electric pumping scenario</t>
  </si>
  <si>
    <t>Fuel</t>
  </si>
  <si>
    <t>Machinery</t>
  </si>
  <si>
    <t>Fertilizers production and transport</t>
  </si>
  <si>
    <t>Irrigation</t>
  </si>
  <si>
    <t>Latin America</t>
  </si>
  <si>
    <t>World</t>
  </si>
  <si>
    <t>Fertilizers use</t>
  </si>
  <si>
    <t>C</t>
    <phoneticPr fontId="2" type="noConversion"/>
  </si>
  <si>
    <r>
      <t>Water-use intensity (10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 xml:space="preserve"> m</t>
    </r>
    <r>
      <rPr>
        <b/>
        <vertAlign val="superscript"/>
        <sz val="11"/>
        <color theme="1"/>
        <rFont val="Times New Roman"/>
        <family val="1"/>
      </rPr>
      <t>3</t>
    </r>
    <r>
      <rPr>
        <b/>
        <sz val="11"/>
        <color theme="1"/>
        <rFont val="Times New Roman"/>
        <family val="1"/>
      </rPr>
      <t>/ha)</t>
    </r>
    <phoneticPr fontId="2" type="noConversion"/>
  </si>
  <si>
    <t>Energy intensity (GJ/ha)</t>
    <phoneticPr fontId="2" type="noConversion"/>
  </si>
  <si>
    <r>
      <t>The energy intensity of of each irrigation system or pumping system (MJ/m</t>
    </r>
    <r>
      <rPr>
        <b/>
        <vertAlign val="superscript"/>
        <sz val="10.5"/>
        <color theme="1"/>
        <rFont val="Times New Roman"/>
        <family val="1"/>
      </rPr>
      <t>3</t>
    </r>
    <r>
      <rPr>
        <b/>
        <sz val="10.5"/>
        <color theme="1"/>
        <rFont val="Times New Roman"/>
        <family val="1"/>
      </rPr>
      <t>)</t>
    </r>
    <phoneticPr fontId="2" type="noConversion"/>
  </si>
  <si>
    <r>
      <t>CO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 emissions intensity (100 kg CO</t>
    </r>
    <r>
      <rPr>
        <b/>
        <vertAlign val="sub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/ha)</t>
    </r>
    <phoneticPr fontId="2" type="noConversion"/>
  </si>
  <si>
    <r>
      <t>The CO</t>
    </r>
    <r>
      <rPr>
        <b/>
        <vertAlign val="subscript"/>
        <sz val="10.5"/>
        <color theme="1"/>
        <rFont val="Times New Roman"/>
        <family val="1"/>
      </rPr>
      <t>2</t>
    </r>
    <r>
      <rPr>
        <b/>
        <sz val="10.5"/>
        <color theme="1"/>
        <rFont val="Times New Roman"/>
        <family val="1"/>
      </rPr>
      <t xml:space="preserve"> emissions intensity of each irrigation system or pumping system (g CO</t>
    </r>
    <r>
      <rPr>
        <b/>
        <vertAlign val="subscript"/>
        <sz val="10.5"/>
        <color theme="1"/>
        <rFont val="Times New Roman"/>
        <family val="1"/>
      </rPr>
      <t>2</t>
    </r>
    <r>
      <rPr>
        <b/>
        <sz val="10.5"/>
        <color theme="1"/>
        <rFont val="Times New Roman"/>
        <family val="1"/>
      </rPr>
      <t>/m</t>
    </r>
    <r>
      <rPr>
        <b/>
        <vertAlign val="superscript"/>
        <sz val="10.5"/>
        <color theme="1"/>
        <rFont val="Times New Roman"/>
        <family val="1"/>
      </rPr>
      <t>3</t>
    </r>
    <r>
      <rPr>
        <b/>
        <sz val="10.5"/>
        <color theme="1"/>
        <rFont val="Times New Roman"/>
        <family val="1"/>
      </rPr>
      <t>)</t>
    </r>
    <phoneticPr fontId="2" type="noConversion"/>
  </si>
  <si>
    <t>Global energy consumption from irrigation (PJ/year)</t>
    <phoneticPr fontId="2" type="noConversion"/>
  </si>
  <si>
    <r>
      <t>CO</t>
    </r>
    <r>
      <rPr>
        <b/>
        <vertAlign val="subscript"/>
        <sz val="10.5"/>
        <color theme="1"/>
        <rFont val="Times New Roman"/>
        <family val="1"/>
      </rPr>
      <t>2</t>
    </r>
    <r>
      <rPr>
        <b/>
        <sz val="10.5"/>
        <color theme="1"/>
        <rFont val="Times New Roman"/>
        <family val="1"/>
      </rPr>
      <t xml:space="preserve"> emissions from irrigation (Mt CO</t>
    </r>
    <r>
      <rPr>
        <b/>
        <vertAlign val="subscript"/>
        <sz val="10.5"/>
        <color theme="1"/>
        <rFont val="Times New Roman"/>
        <family val="1"/>
      </rPr>
      <t>2</t>
    </r>
    <r>
      <rPr>
        <b/>
        <sz val="10.5"/>
        <color theme="1"/>
        <rFont val="Times New Roman"/>
        <family val="1"/>
      </rPr>
      <t>/year)</t>
    </r>
    <phoneticPr fontId="2" type="noConversion"/>
  </si>
  <si>
    <r>
      <t xml:space="preserve">Sankey diagram of the distribution of </t>
    </r>
    <r>
      <rPr>
        <b/>
        <sz val="10.5"/>
        <color theme="1"/>
        <rFont val="Times New Roman"/>
        <family val="1"/>
      </rPr>
      <t>energy consumption from irrigation</t>
    </r>
    <r>
      <rPr>
        <b/>
        <sz val="10.5"/>
        <color rgb="FF000000"/>
        <rFont val="Times New Roman"/>
        <family val="1"/>
      </rPr>
      <t xml:space="preserve"> (PJ/year)</t>
    </r>
    <phoneticPr fontId="2" type="noConversion"/>
  </si>
  <si>
    <r>
      <t xml:space="preserve">Sankey diagram of the distribution of </t>
    </r>
    <r>
      <rPr>
        <b/>
        <sz val="10.5"/>
        <color theme="1"/>
        <rFont val="Times New Roman"/>
        <family val="1"/>
      </rPr>
      <t>energy-related CO</t>
    </r>
    <r>
      <rPr>
        <b/>
        <vertAlign val="subscript"/>
        <sz val="10.5"/>
        <color theme="1"/>
        <rFont val="Times New Roman"/>
        <family val="1"/>
      </rPr>
      <t>2</t>
    </r>
    <r>
      <rPr>
        <b/>
        <sz val="10.5"/>
        <color theme="1"/>
        <rFont val="Times New Roman"/>
        <family val="1"/>
      </rPr>
      <t xml:space="preserve"> emissions from irrigation</t>
    </r>
    <r>
      <rPr>
        <b/>
        <sz val="10.5"/>
        <color rgb="FF000000"/>
        <rFont val="Times New Roman"/>
        <family val="1"/>
      </rPr>
      <t xml:space="preserve"> (Mt CO</t>
    </r>
    <r>
      <rPr>
        <b/>
        <vertAlign val="subscript"/>
        <sz val="10.5"/>
        <color rgb="FF000000"/>
        <rFont val="Times New Roman"/>
        <family val="1"/>
      </rPr>
      <t>2</t>
    </r>
    <r>
      <rPr>
        <b/>
        <sz val="10.5"/>
        <color rgb="FF000000"/>
        <rFont val="Times New Roman"/>
        <family val="1"/>
      </rPr>
      <t>/year)</t>
    </r>
    <phoneticPr fontId="2" type="noConversion"/>
  </si>
  <si>
    <t>Mitigation potentials of energy use under different scenarios (PJ/year)</t>
    <phoneticPr fontId="2" type="noConversion"/>
  </si>
  <si>
    <r>
      <t>Mitigation potentials of  CO</t>
    </r>
    <r>
      <rPr>
        <b/>
        <vertAlign val="subscript"/>
        <sz val="10.5"/>
        <color theme="1"/>
        <rFont val="Times New Roman"/>
        <family val="1"/>
      </rPr>
      <t>2</t>
    </r>
    <r>
      <rPr>
        <b/>
        <sz val="10.5"/>
        <color theme="1"/>
        <rFont val="Times New Roman"/>
        <family val="1"/>
      </rPr>
      <t xml:space="preserve"> emissions under different scenarios (Mt CO</t>
    </r>
    <r>
      <rPr>
        <b/>
        <vertAlign val="subscript"/>
        <sz val="10.5"/>
        <color theme="1"/>
        <rFont val="Times New Roman"/>
        <family val="1"/>
      </rPr>
      <t>2</t>
    </r>
    <r>
      <rPr>
        <b/>
        <sz val="10.5"/>
        <color theme="1"/>
        <rFont val="Times New Roman"/>
        <family val="1"/>
      </rPr>
      <t>/year)</t>
    </r>
    <phoneticPr fontId="2" type="noConversion"/>
  </si>
  <si>
    <t>Feasibility of drip and low-carbon electricity (%)</t>
    <phoneticPr fontId="2" type="noConversion"/>
  </si>
  <si>
    <t>Feasibility of low-carbon electricity</t>
    <phoneticPr fontId="2" type="noConversion"/>
  </si>
  <si>
    <t>Feasibility of drip</t>
    <phoneticPr fontId="2" type="noConversion"/>
  </si>
  <si>
    <r>
      <t>Potential contribution of drip and low-carbon electricity to energy-related CO</t>
    </r>
    <r>
      <rPr>
        <b/>
        <vertAlign val="subscript"/>
        <sz val="10.5"/>
        <color theme="1"/>
        <rFont val="Times New Roman"/>
        <family val="1"/>
      </rPr>
      <t>2</t>
    </r>
    <r>
      <rPr>
        <b/>
        <sz val="10.5"/>
        <color theme="1"/>
        <rFont val="Times New Roman"/>
        <family val="1"/>
      </rPr>
      <t xml:space="preserve"> emissions reduction (%)</t>
    </r>
    <phoneticPr fontId="2" type="noConversion"/>
  </si>
  <si>
    <t>Drip_Reduction</t>
    <phoneticPr fontId="2" type="noConversion"/>
  </si>
  <si>
    <t>Low-carbon_Reduction</t>
    <phoneticPr fontId="2" type="noConversion"/>
  </si>
  <si>
    <t>Total_Reduction</t>
    <phoneticPr fontId="2" type="noConversion"/>
  </si>
  <si>
    <t>Energy input intensity during 2000–2010 (GJ/ha)</t>
    <phoneticPr fontId="2" type="noConversion"/>
  </si>
  <si>
    <r>
      <t>CO</t>
    </r>
    <r>
      <rPr>
        <b/>
        <vertAlign val="subscript"/>
        <sz val="10.5"/>
        <color theme="1"/>
        <rFont val="Times New Roman"/>
        <family val="1"/>
      </rPr>
      <t>2</t>
    </r>
    <r>
      <rPr>
        <b/>
        <sz val="10.5"/>
        <color theme="1"/>
        <rFont val="Times New Roman"/>
        <family val="1"/>
      </rPr>
      <t xml:space="preserve"> emissions intensity generated by energy inputs during 2000–2010 (kg CO</t>
    </r>
    <r>
      <rPr>
        <b/>
        <vertAlign val="subscript"/>
        <sz val="10.5"/>
        <color theme="1"/>
        <rFont val="Times New Roman"/>
        <family val="1"/>
      </rPr>
      <t>2</t>
    </r>
    <r>
      <rPr>
        <b/>
        <sz val="10.5"/>
        <color theme="1"/>
        <rFont val="Times New Roman"/>
        <family val="1"/>
      </rPr>
      <t>e/ha)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</si>
</sst>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0"/>
    <numFmt numFmtId="177" formatCode="0.000"/>
    <numFmt numFmtId="178" formatCode="0.0"/>
    <numFmt numFmtId="179" formatCode="0.0_ "/>
  </numFmts>
  <fonts count="20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indexed="81"/>
      <name val="宋体"/>
      <family val="3"/>
      <charset val="134"/>
    </font>
    <font>
      <b/>
      <sz val="11"/>
      <color indexed="81"/>
      <name val="宋体"/>
      <family val="3"/>
      <charset val="134"/>
    </font>
    <font>
      <sz val="9"/>
      <color theme="1"/>
      <name val="Times New Roman"/>
      <family val="1"/>
    </font>
    <font>
      <vertAlign val="subscript"/>
      <sz val="9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sz val="9"/>
      <color indexed="81"/>
      <name val="Times New Roman"/>
      <family val="1"/>
    </font>
    <font>
      <sz val="11"/>
      <color theme="1"/>
      <name val="等线"/>
      <family val="2"/>
    </font>
    <font>
      <b/>
      <sz val="10.5"/>
      <color theme="1"/>
      <name val="Times New Roman"/>
      <family val="1"/>
    </font>
    <font>
      <b/>
      <vertAlign val="subscript"/>
      <sz val="10.5"/>
      <color theme="1"/>
      <name val="Times New Roman"/>
      <family val="1"/>
    </font>
    <font>
      <b/>
      <sz val="10.5"/>
      <color rgb="FF000000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b/>
      <vertAlign val="superscript"/>
      <sz val="10.5"/>
      <color theme="1"/>
      <name val="Times New Roman"/>
      <family val="1"/>
    </font>
    <font>
      <b/>
      <vertAlign val="subscript"/>
      <sz val="11"/>
      <color theme="1"/>
      <name val="Times New Roman"/>
      <family val="1"/>
    </font>
    <font>
      <b/>
      <vertAlign val="subscript"/>
      <sz val="10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2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/>
    <xf numFmtId="178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178" fontId="7" fillId="0" borderId="0" xfId="0" applyNumberFormat="1" applyFont="1" applyAlignment="1">
      <alignment horizontal="center" vertical="center"/>
    </xf>
    <xf numFmtId="178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center"/>
    </xf>
    <xf numFmtId="1" fontId="7" fillId="2" borderId="0" xfId="0" applyNumberFormat="1" applyFont="1" applyFill="1" applyAlignment="1">
      <alignment horizontal="center" vertical="top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center"/>
    </xf>
    <xf numFmtId="179" fontId="7" fillId="0" borderId="0" xfId="0" applyNumberFormat="1" applyFont="1" applyAlignment="1">
      <alignment horizontal="center" vertical="center"/>
    </xf>
    <xf numFmtId="1" fontId="7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76" fontId="7" fillId="0" borderId="0" xfId="0" applyNumberFormat="1" applyFont="1" applyAlignment="1">
      <alignment horizontal="center" vertical="top"/>
    </xf>
    <xf numFmtId="177" fontId="3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76" fontId="0" fillId="0" borderId="0" xfId="0" applyNumberFormat="1"/>
    <xf numFmtId="0" fontId="15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常规 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01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D28" sqref="D28"/>
    </sheetView>
  </sheetViews>
  <sheetFormatPr defaultRowHeight="14.4" x14ac:dyDescent="0.25"/>
  <cols>
    <col min="1" max="1" width="18" customWidth="1"/>
    <col min="2" max="2" width="12.6640625" style="1" customWidth="1"/>
    <col min="3" max="3" width="15.21875" style="1" customWidth="1"/>
    <col min="4" max="4" width="17" style="1" customWidth="1"/>
    <col min="5" max="5" width="24.109375" style="1" customWidth="1"/>
    <col min="6" max="6" width="19.6640625" style="1" customWidth="1"/>
    <col min="7" max="7" width="23.21875" customWidth="1"/>
    <col min="8" max="8" width="23.77734375" customWidth="1"/>
    <col min="9" max="10" width="26.21875" customWidth="1"/>
    <col min="11" max="11" width="20" customWidth="1"/>
    <col min="12" max="12" width="25.109375" customWidth="1"/>
    <col min="13" max="13" width="23.77734375" customWidth="1"/>
    <col min="14" max="14" width="21.109375" customWidth="1"/>
    <col min="15" max="15" width="16.77734375" customWidth="1"/>
    <col min="16" max="16" width="21.21875" customWidth="1"/>
    <col min="17" max="17" width="16.88671875" customWidth="1"/>
    <col min="18" max="18" width="15.33203125" customWidth="1"/>
    <col min="19" max="20" width="14.33203125" customWidth="1"/>
    <col min="21" max="21" width="15.109375" customWidth="1"/>
    <col min="22" max="23" width="14.109375" customWidth="1"/>
    <col min="24" max="24" width="15.44140625" customWidth="1"/>
    <col min="25" max="26" width="14.6640625" customWidth="1"/>
    <col min="27" max="27" width="15.21875" customWidth="1"/>
    <col min="28" max="29" width="14.21875" customWidth="1"/>
    <col min="30" max="30" width="20.109375" bestFit="1" customWidth="1"/>
    <col min="31" max="31" width="21.6640625" bestFit="1" customWidth="1"/>
    <col min="32" max="32" width="22.88671875" bestFit="1" customWidth="1"/>
    <col min="33" max="33" width="19.88671875" bestFit="1" customWidth="1"/>
    <col min="34" max="34" width="21.33203125" bestFit="1" customWidth="1"/>
    <col min="35" max="35" width="22.6640625" bestFit="1" customWidth="1"/>
    <col min="36" max="36" width="19.109375" bestFit="1" customWidth="1"/>
    <col min="37" max="37" width="20.6640625" bestFit="1" customWidth="1"/>
    <col min="38" max="38" width="21.88671875" bestFit="1" customWidth="1"/>
    <col min="39" max="39" width="18.88671875" bestFit="1" customWidth="1"/>
    <col min="40" max="40" width="20.33203125" bestFit="1" customWidth="1"/>
    <col min="41" max="41" width="21.6640625" bestFit="1" customWidth="1"/>
    <col min="42" max="42" width="19.21875" bestFit="1" customWidth="1"/>
    <col min="43" max="43" width="20.77734375" bestFit="1" customWidth="1"/>
    <col min="44" max="44" width="22" bestFit="1" customWidth="1"/>
    <col min="45" max="45" width="20.21875" bestFit="1" customWidth="1"/>
    <col min="46" max="46" width="21.77734375" bestFit="1" customWidth="1"/>
    <col min="47" max="47" width="23" bestFit="1" customWidth="1"/>
    <col min="48" max="48" width="20" bestFit="1" customWidth="1"/>
    <col min="49" max="49" width="21.44140625" bestFit="1" customWidth="1"/>
    <col min="50" max="50" width="22.77734375" bestFit="1" customWidth="1"/>
    <col min="51" max="51" width="19" bestFit="1" customWidth="1"/>
    <col min="52" max="52" width="20.44140625" bestFit="1" customWidth="1"/>
    <col min="53" max="53" width="21.77734375" bestFit="1" customWidth="1"/>
    <col min="54" max="54" width="13.77734375" style="4" customWidth="1"/>
    <col min="55" max="55" width="17.21875" style="4" customWidth="1"/>
    <col min="59" max="59" width="13.109375" customWidth="1"/>
    <col min="60" max="62" width="11.109375" customWidth="1"/>
    <col min="63" max="63" width="13.6640625" customWidth="1"/>
    <col min="64" max="64" width="9.77734375" bestFit="1" customWidth="1"/>
    <col min="65" max="65" width="10" style="6" bestFit="1" customWidth="1"/>
    <col min="66" max="87" width="9" style="6"/>
    <col min="88" max="88" width="17.109375" style="5" customWidth="1"/>
    <col min="89" max="89" width="13.44140625" style="5" customWidth="1"/>
    <col min="90" max="90" width="12.6640625" style="5" customWidth="1"/>
  </cols>
  <sheetData>
    <row r="1" spans="1:90" s="19" customFormat="1" ht="61.5" customHeight="1" x14ac:dyDescent="0.25">
      <c r="A1" s="3" t="s">
        <v>317</v>
      </c>
      <c r="B1" s="3" t="s">
        <v>320</v>
      </c>
      <c r="C1" s="3" t="s">
        <v>351</v>
      </c>
      <c r="D1" s="3" t="s">
        <v>352</v>
      </c>
      <c r="E1" s="3" t="s">
        <v>353</v>
      </c>
      <c r="F1" s="3" t="s">
        <v>319</v>
      </c>
      <c r="G1" s="3" t="s">
        <v>318</v>
      </c>
      <c r="H1" s="3" t="s">
        <v>448</v>
      </c>
      <c r="I1" s="3" t="s">
        <v>354</v>
      </c>
      <c r="J1" s="3" t="s">
        <v>355</v>
      </c>
      <c r="K1" s="3" t="s">
        <v>356</v>
      </c>
      <c r="L1" s="3" t="s">
        <v>357</v>
      </c>
      <c r="M1" s="3" t="s">
        <v>358</v>
      </c>
      <c r="N1" s="3" t="s">
        <v>402</v>
      </c>
      <c r="O1" s="3" t="s">
        <v>403</v>
      </c>
      <c r="P1" s="3" t="s">
        <v>408</v>
      </c>
      <c r="Q1" s="3" t="s">
        <v>407</v>
      </c>
      <c r="R1" s="3" t="s">
        <v>412</v>
      </c>
      <c r="S1" s="3" t="s">
        <v>404</v>
      </c>
      <c r="T1" s="3" t="s">
        <v>438</v>
      </c>
      <c r="U1" s="3" t="s">
        <v>405</v>
      </c>
      <c r="V1" s="3" t="s">
        <v>406</v>
      </c>
      <c r="W1" s="3" t="s">
        <v>439</v>
      </c>
      <c r="X1" s="3" t="s">
        <v>409</v>
      </c>
      <c r="Y1" s="3" t="s">
        <v>410</v>
      </c>
      <c r="Z1" s="3" t="s">
        <v>440</v>
      </c>
      <c r="AA1" s="3" t="s">
        <v>411</v>
      </c>
      <c r="AB1" s="3" t="s">
        <v>420</v>
      </c>
      <c r="AC1" s="3" t="s">
        <v>441</v>
      </c>
      <c r="AD1" s="3" t="s">
        <v>413</v>
      </c>
      <c r="AE1" s="3" t="s">
        <v>414</v>
      </c>
      <c r="AF1" s="3" t="s">
        <v>415</v>
      </c>
      <c r="AG1" s="3" t="s">
        <v>416</v>
      </c>
      <c r="AH1" s="3" t="s">
        <v>417</v>
      </c>
      <c r="AI1" s="3" t="s">
        <v>418</v>
      </c>
      <c r="AJ1" s="3" t="s">
        <v>442</v>
      </c>
      <c r="AK1" s="3" t="s">
        <v>443</v>
      </c>
      <c r="AL1" s="3" t="s">
        <v>444</v>
      </c>
      <c r="AM1" s="3" t="s">
        <v>445</v>
      </c>
      <c r="AN1" s="3" t="s">
        <v>446</v>
      </c>
      <c r="AO1" s="3" t="s">
        <v>419</v>
      </c>
      <c r="AP1" s="3" t="s">
        <v>432</v>
      </c>
      <c r="AQ1" s="3" t="s">
        <v>431</v>
      </c>
      <c r="AR1" s="3" t="s">
        <v>430</v>
      </c>
      <c r="AS1" s="3" t="s">
        <v>429</v>
      </c>
      <c r="AT1" s="3" t="s">
        <v>428</v>
      </c>
      <c r="AU1" s="3" t="s">
        <v>427</v>
      </c>
      <c r="AV1" s="3" t="s">
        <v>426</v>
      </c>
      <c r="AW1" s="3" t="s">
        <v>425</v>
      </c>
      <c r="AX1" s="3" t="s">
        <v>424</v>
      </c>
      <c r="AY1" s="3" t="s">
        <v>423</v>
      </c>
      <c r="AZ1" s="3" t="s">
        <v>422</v>
      </c>
      <c r="BA1" s="3" t="s">
        <v>421</v>
      </c>
      <c r="BB1" s="3" t="s">
        <v>436</v>
      </c>
      <c r="BC1" s="3" t="s">
        <v>435</v>
      </c>
      <c r="BD1" s="8" t="s">
        <v>360</v>
      </c>
      <c r="BE1" s="8" t="s">
        <v>361</v>
      </c>
      <c r="BF1" s="8" t="s">
        <v>362</v>
      </c>
      <c r="BG1" s="8" t="s">
        <v>367</v>
      </c>
      <c r="BH1" s="8" t="s">
        <v>363</v>
      </c>
      <c r="BI1" s="8" t="s">
        <v>437</v>
      </c>
      <c r="BJ1" s="8" t="s">
        <v>401</v>
      </c>
      <c r="BK1" s="8" t="s">
        <v>368</v>
      </c>
      <c r="BL1" s="8" t="s">
        <v>364</v>
      </c>
      <c r="BM1" s="8" t="s">
        <v>365</v>
      </c>
      <c r="BN1" s="8" t="s">
        <v>366</v>
      </c>
      <c r="BO1" s="8" t="s">
        <v>369</v>
      </c>
      <c r="BP1" s="8" t="s">
        <v>370</v>
      </c>
      <c r="BQ1" s="8" t="s">
        <v>371</v>
      </c>
      <c r="BR1" s="8" t="s">
        <v>372</v>
      </c>
      <c r="BS1" s="8" t="s">
        <v>373</v>
      </c>
      <c r="BT1" s="8" t="s">
        <v>374</v>
      </c>
      <c r="BU1" s="8" t="s">
        <v>375</v>
      </c>
      <c r="BV1" s="8" t="s">
        <v>376</v>
      </c>
      <c r="BW1" s="8" t="s">
        <v>377</v>
      </c>
      <c r="BX1" s="8" t="s">
        <v>378</v>
      </c>
      <c r="BY1" s="8" t="s">
        <v>379</v>
      </c>
      <c r="BZ1" s="8" t="s">
        <v>380</v>
      </c>
      <c r="CA1" s="8" t="s">
        <v>381</v>
      </c>
      <c r="CB1" s="8" t="s">
        <v>382</v>
      </c>
      <c r="CC1" s="8" t="s">
        <v>383</v>
      </c>
      <c r="CD1" s="8" t="s">
        <v>384</v>
      </c>
      <c r="CE1" s="8" t="s">
        <v>385</v>
      </c>
      <c r="CF1" s="8" t="s">
        <v>386</v>
      </c>
      <c r="CG1" s="8" t="s">
        <v>387</v>
      </c>
      <c r="CH1" s="8" t="s">
        <v>388</v>
      </c>
      <c r="CI1" s="8" t="s">
        <v>389</v>
      </c>
      <c r="CJ1" s="8" t="s">
        <v>400</v>
      </c>
      <c r="CK1" s="8" t="s">
        <v>433</v>
      </c>
      <c r="CL1" s="8" t="s">
        <v>434</v>
      </c>
    </row>
    <row r="2" spans="1:90" x14ac:dyDescent="0.25">
      <c r="A2" s="2" t="s">
        <v>159</v>
      </c>
      <c r="B2" s="1" t="s">
        <v>0</v>
      </c>
      <c r="C2" s="1" t="s">
        <v>321</v>
      </c>
      <c r="D2" s="1" t="s">
        <v>322</v>
      </c>
      <c r="E2" s="1" t="s">
        <v>323</v>
      </c>
      <c r="F2" s="21">
        <v>19581.4052625</v>
      </c>
      <c r="G2" s="22">
        <v>1.7176979075199998</v>
      </c>
      <c r="H2" s="22">
        <v>6.9783066680900003E-4</v>
      </c>
      <c r="I2" s="22">
        <v>25709316959</v>
      </c>
      <c r="J2" s="22">
        <v>3203415.5053099999</v>
      </c>
      <c r="K2" s="22">
        <f t="shared" ref="K2:K33" si="0">F2/J2*1000</f>
        <v>6.1126648197967928</v>
      </c>
      <c r="L2" s="22">
        <f t="shared" ref="L2:L33" si="1">G2/J2*10000000</f>
        <v>5.3620827665744075</v>
      </c>
      <c r="M2" s="22">
        <f t="shared" ref="M2:M33" si="2">(I2/J2)/1000</f>
        <v>8.0255954672080758</v>
      </c>
      <c r="N2" s="21">
        <v>18306.372822099998</v>
      </c>
      <c r="O2" s="21">
        <v>1275.03241897</v>
      </c>
      <c r="P2" s="22">
        <v>1.6063161688699998</v>
      </c>
      <c r="Q2" s="22">
        <v>0.111381736684</v>
      </c>
      <c r="R2" s="23">
        <v>17666.729219699999</v>
      </c>
      <c r="S2" s="23">
        <v>639.64360619499996</v>
      </c>
      <c r="T2" s="23">
        <v>0</v>
      </c>
      <c r="U2" s="23">
        <v>1216.00337188</v>
      </c>
      <c r="V2" s="23">
        <v>59.0290466724</v>
      </c>
      <c r="W2" s="23">
        <v>0</v>
      </c>
      <c r="X2" s="22">
        <v>1.5714064883000001</v>
      </c>
      <c r="Y2" s="22">
        <v>3.4909680495400004E-2</v>
      </c>
      <c r="Z2" s="22">
        <v>0</v>
      </c>
      <c r="AA2" s="22">
        <v>0.108160122121</v>
      </c>
      <c r="AB2" s="22">
        <v>3.2216145548999999E-3</v>
      </c>
      <c r="AC2" s="22">
        <v>0</v>
      </c>
      <c r="AD2" s="21">
        <v>0</v>
      </c>
      <c r="AE2" s="21">
        <v>801.39161154600004</v>
      </c>
      <c r="AF2" s="21">
        <v>16865.3375911</v>
      </c>
      <c r="AG2" s="21">
        <v>0</v>
      </c>
      <c r="AH2" s="21">
        <v>1216.0033726900001</v>
      </c>
      <c r="AI2" s="21">
        <v>0</v>
      </c>
      <c r="AJ2" s="21">
        <v>0</v>
      </c>
      <c r="AK2" s="21">
        <v>29.148574986900002</v>
      </c>
      <c r="AL2" s="21">
        <v>610.49503054499996</v>
      </c>
      <c r="AM2" s="21">
        <v>0</v>
      </c>
      <c r="AN2" s="21">
        <v>59.029046586299998</v>
      </c>
      <c r="AO2" s="21">
        <v>0</v>
      </c>
      <c r="AP2" s="22">
        <v>0</v>
      </c>
      <c r="AQ2" s="22">
        <v>1.5908350069500001E-3</v>
      </c>
      <c r="AR2" s="22">
        <v>3.3318845542700003E-2</v>
      </c>
      <c r="AS2" s="22">
        <v>0</v>
      </c>
      <c r="AT2" s="22">
        <v>7.1281557748199997E-2</v>
      </c>
      <c r="AU2" s="22">
        <v>1.5001249301099999</v>
      </c>
      <c r="AV2" s="22">
        <v>0</v>
      </c>
      <c r="AW2" s="22">
        <v>0.10816012213200001</v>
      </c>
      <c r="AX2" s="22">
        <v>0</v>
      </c>
      <c r="AY2" s="22">
        <v>0</v>
      </c>
      <c r="AZ2" s="22">
        <v>3.2216145591900001E-3</v>
      </c>
      <c r="BA2" s="22">
        <v>0</v>
      </c>
      <c r="BB2" s="7">
        <v>3661.8683678100001</v>
      </c>
      <c r="BC2" s="1">
        <v>0.204454316917</v>
      </c>
      <c r="BD2" s="9">
        <v>0.96399999999999997</v>
      </c>
      <c r="BE2" s="9">
        <v>3.5999999999999997E-2</v>
      </c>
      <c r="BF2" s="10">
        <v>0</v>
      </c>
      <c r="BG2" s="11">
        <v>-56.063464307300002</v>
      </c>
      <c r="BH2" s="12">
        <v>196.47636360000001</v>
      </c>
      <c r="BI2" s="20">
        <v>1</v>
      </c>
      <c r="BJ2" s="15">
        <v>196.47636360000001</v>
      </c>
      <c r="BK2" s="13">
        <f t="shared" ref="BK2:BK9" si="3">I2*BM2*0.01</f>
        <v>5181608815.2119637</v>
      </c>
      <c r="BL2" s="13">
        <f>I2*BN2*0.01</f>
        <v>20527708143.788036</v>
      </c>
      <c r="BM2" s="14">
        <v>20.15459540786458</v>
      </c>
      <c r="BN2" s="14">
        <v>79.845404592135424</v>
      </c>
      <c r="BO2" s="16">
        <v>9.7603745477761218E-3</v>
      </c>
      <c r="BP2" s="16">
        <v>3.5823792296233239E-3</v>
      </c>
      <c r="BQ2" s="16">
        <v>9.952090909090909E-2</v>
      </c>
      <c r="BR2" s="16">
        <v>6.4846666666666672E-3</v>
      </c>
      <c r="BS2" s="16">
        <v>1.1111111111111112E-5</v>
      </c>
      <c r="BT2" s="16">
        <v>2.187272727272727</v>
      </c>
      <c r="BU2" s="16">
        <v>0.45666666666666672</v>
      </c>
      <c r="BV2" s="16">
        <v>1.1111111111111111E-3</v>
      </c>
      <c r="BW2" s="16">
        <f>BT2*4</f>
        <v>8.7490909090909081</v>
      </c>
      <c r="BX2" s="16">
        <f>BU2*1.29</f>
        <v>0.58910000000000007</v>
      </c>
      <c r="BY2" s="16">
        <f>BV2*1.47</f>
        <v>1.6333333333333332E-3</v>
      </c>
      <c r="BZ2" s="16">
        <v>8.5599999999999999E-3</v>
      </c>
      <c r="CA2" s="16">
        <f t="shared" ref="CA2:CA34" si="4">(BT2*BZ2)*(44/28)*265</f>
        <v>7.7968148571428557</v>
      </c>
      <c r="CB2" s="9">
        <f t="shared" ref="CB2:CB34" si="5">(74.1+69.3+63.1)/3*BO2</f>
        <v>0.67183911470525637</v>
      </c>
      <c r="CC2" s="16">
        <f t="shared" ref="CC2:CC34" si="6">(0.00415+0.08+0.005)/3*BO2*28</f>
        <v>8.1212823153862523E-3</v>
      </c>
      <c r="CD2" s="16">
        <f t="shared" ref="CD2:CD34" si="7">(0.0286+0.002+0.0001)/3*BO2*265</f>
        <v>2.6468509044477548E-2</v>
      </c>
      <c r="CE2" s="17">
        <f t="shared" ref="CE2:CE34" si="8">CB2+CC2+CD2</f>
        <v>0.7064289060651201</v>
      </c>
      <c r="CF2" s="9">
        <f t="shared" ref="CF2:CF34" si="9">BP2*95</f>
        <v>0.34032602681421575</v>
      </c>
      <c r="CG2" s="18">
        <v>7867363.6363636358</v>
      </c>
      <c r="CH2" s="9">
        <f>(BO2+BP2+BQ2+BR2+BS2)*CG2/1000000</f>
        <v>0.93904412299572326</v>
      </c>
      <c r="CI2" s="9">
        <f>(BW2+BX2+BY2+CA2+CE2+CF2)*CG2/1000000000</f>
        <v>0.14305537299654061</v>
      </c>
      <c r="CJ2" s="5">
        <v>0</v>
      </c>
      <c r="CK2" s="5">
        <v>11.478297555227252</v>
      </c>
      <c r="CL2" s="5">
        <v>11.478297555227257</v>
      </c>
    </row>
    <row r="3" spans="1:90" x14ac:dyDescent="0.25">
      <c r="A3" s="2" t="s">
        <v>160</v>
      </c>
      <c r="B3" s="1" t="s">
        <v>1</v>
      </c>
      <c r="C3" s="1" t="s">
        <v>327</v>
      </c>
      <c r="D3" s="1" t="s">
        <v>330</v>
      </c>
      <c r="E3" s="1" t="s">
        <v>331</v>
      </c>
      <c r="F3" s="21">
        <v>87.756956923100006</v>
      </c>
      <c r="G3" s="22">
        <v>7.9357474421099996E-3</v>
      </c>
      <c r="H3" s="22">
        <v>0</v>
      </c>
      <c r="I3" s="22">
        <v>163092612.27399999</v>
      </c>
      <c r="J3" s="22">
        <v>79619.822347399997</v>
      </c>
      <c r="K3" s="22">
        <f t="shared" si="0"/>
        <v>1.102199858474888</v>
      </c>
      <c r="L3" s="22">
        <f t="shared" si="1"/>
        <v>0.9967049923176754</v>
      </c>
      <c r="M3" s="22">
        <f t="shared" si="2"/>
        <v>2.0483920645086169</v>
      </c>
      <c r="N3" s="21">
        <v>87.756956923100006</v>
      </c>
      <c r="O3" s="21">
        <v>0</v>
      </c>
      <c r="P3" s="22">
        <v>7.9357474421099996E-3</v>
      </c>
      <c r="Q3" s="22">
        <v>0</v>
      </c>
      <c r="R3" s="23">
        <v>79.073728608899998</v>
      </c>
      <c r="S3" s="23">
        <v>8.6832283465300009</v>
      </c>
      <c r="T3" s="23">
        <v>0</v>
      </c>
      <c r="U3" s="23">
        <v>0</v>
      </c>
      <c r="V3" s="23">
        <v>0</v>
      </c>
      <c r="W3" s="23">
        <v>0</v>
      </c>
      <c r="X3" s="22">
        <v>7.0333884932999996E-3</v>
      </c>
      <c r="Y3" s="22">
        <v>9.0235894498100005E-4</v>
      </c>
      <c r="Z3" s="22">
        <v>0</v>
      </c>
      <c r="AA3" s="22">
        <v>0</v>
      </c>
      <c r="AB3" s="22">
        <v>0</v>
      </c>
      <c r="AC3" s="22">
        <v>0</v>
      </c>
      <c r="AD3" s="21">
        <v>0</v>
      </c>
      <c r="AE3" s="21">
        <v>0</v>
      </c>
      <c r="AF3" s="21">
        <v>79.073728493700003</v>
      </c>
      <c r="AG3" s="21">
        <v>0</v>
      </c>
      <c r="AH3" s="21">
        <v>0</v>
      </c>
      <c r="AI3" s="21">
        <v>0</v>
      </c>
      <c r="AJ3" s="21">
        <v>0</v>
      </c>
      <c r="AK3" s="21">
        <v>0</v>
      </c>
      <c r="AL3" s="21">
        <v>8.6832283421300005</v>
      </c>
      <c r="AM3" s="21">
        <v>0</v>
      </c>
      <c r="AN3" s="21">
        <v>0</v>
      </c>
      <c r="AO3" s="21">
        <v>0</v>
      </c>
      <c r="AP3" s="22">
        <v>0</v>
      </c>
      <c r="AQ3" s="22">
        <v>0</v>
      </c>
      <c r="AR3" s="22">
        <v>9.0235894408299995E-4</v>
      </c>
      <c r="AS3" s="22">
        <v>0</v>
      </c>
      <c r="AT3" s="22">
        <v>0</v>
      </c>
      <c r="AU3" s="22">
        <v>7.0333884988400003E-3</v>
      </c>
      <c r="AV3" s="22">
        <v>0</v>
      </c>
      <c r="AW3" s="22">
        <v>0</v>
      </c>
      <c r="AX3" s="22">
        <v>0</v>
      </c>
      <c r="AY3" s="22">
        <v>0</v>
      </c>
      <c r="AZ3" s="22">
        <v>0</v>
      </c>
      <c r="BA3" s="22">
        <v>0</v>
      </c>
      <c r="BB3" s="7">
        <v>807.71441594600003</v>
      </c>
      <c r="BC3" s="1">
        <v>2.7372544109999997E-2</v>
      </c>
      <c r="BD3" s="9">
        <v>1</v>
      </c>
      <c r="BE3" s="9">
        <v>0</v>
      </c>
      <c r="BF3" s="10">
        <v>0</v>
      </c>
      <c r="BG3" s="11">
        <v>-32.894528241899998</v>
      </c>
      <c r="BH3" s="15">
        <v>374.11111111111109</v>
      </c>
      <c r="BI3" s="20">
        <v>1</v>
      </c>
      <c r="BJ3" s="15">
        <v>374.11111111111109</v>
      </c>
      <c r="BK3" s="13">
        <f t="shared" si="3"/>
        <v>32961087.167013604</v>
      </c>
      <c r="BL3" s="13">
        <f t="shared" ref="BL3:BL66" si="10">I3*BN3*0.01</f>
        <v>130131525.10698637</v>
      </c>
      <c r="BM3" s="14">
        <v>20.210043059239304</v>
      </c>
      <c r="BN3" s="14">
        <v>79.789956940760689</v>
      </c>
      <c r="BO3" s="16">
        <v>0.27089595375722542</v>
      </c>
      <c r="BP3" s="16">
        <v>9.9427745664739886E-2</v>
      </c>
      <c r="BQ3" s="16">
        <v>7.6121499999999995E-2</v>
      </c>
      <c r="BR3" s="16">
        <v>1.1659777777777776E-2</v>
      </c>
      <c r="BS3" s="16">
        <v>1.4066666666666668E-2</v>
      </c>
      <c r="BT3" s="16">
        <v>1.6729999999999996</v>
      </c>
      <c r="BU3" s="16">
        <v>0.82111111111111112</v>
      </c>
      <c r="BV3" s="16">
        <v>1.4066666666666665</v>
      </c>
      <c r="BW3" s="16">
        <f>BT3*5.66</f>
        <v>9.4691799999999979</v>
      </c>
      <c r="BX3" s="16">
        <f>BU3*1.36</f>
        <v>1.1167111111111112</v>
      </c>
      <c r="BY3" s="16">
        <f>BV3*1.36</f>
        <v>1.9130666666666667</v>
      </c>
      <c r="BZ3" s="16">
        <v>2.96E-3</v>
      </c>
      <c r="CA3" s="16">
        <f t="shared" si="4"/>
        <v>2.0621875999999992</v>
      </c>
      <c r="CB3" s="9">
        <f t="shared" si="5"/>
        <v>18.646671483622349</v>
      </c>
      <c r="CC3" s="16">
        <f t="shared" si="6"/>
        <v>0.22540349325626202</v>
      </c>
      <c r="CD3" s="16">
        <f t="shared" si="7"/>
        <v>0.73462467726396918</v>
      </c>
      <c r="CE3" s="17">
        <f t="shared" si="8"/>
        <v>19.606699654142581</v>
      </c>
      <c r="CF3" s="9">
        <f t="shared" si="9"/>
        <v>9.4456358381502898</v>
      </c>
      <c r="CG3" s="18">
        <v>3673636.3636363633</v>
      </c>
      <c r="CH3" s="9">
        <f t="shared" ref="CH3:CH65" si="11">(BO3+BP3+BQ3+BR3+BS3)*CG3/1000000</f>
        <v>1.7345869207856015</v>
      </c>
      <c r="CI3" s="9">
        <f t="shared" ref="CI3:CI65" si="12">(BW3+BX3+BY3+CA3+CE3+CF3)*CG3/1000000000</f>
        <v>0.16022006926905041</v>
      </c>
      <c r="CJ3" s="5">
        <v>0</v>
      </c>
      <c r="CK3" s="5">
        <v>7.7144020663207886</v>
      </c>
      <c r="CL3" s="5">
        <v>7.7144020663207913</v>
      </c>
    </row>
    <row r="4" spans="1:90" x14ac:dyDescent="0.25">
      <c r="A4" s="2" t="s">
        <v>161</v>
      </c>
      <c r="B4" s="1" t="s">
        <v>2</v>
      </c>
      <c r="C4" s="1" t="s">
        <v>324</v>
      </c>
      <c r="D4" s="1" t="s">
        <v>325</v>
      </c>
      <c r="E4" s="1" t="s">
        <v>326</v>
      </c>
      <c r="F4" s="21">
        <v>6.5160338794800001</v>
      </c>
      <c r="G4" s="22">
        <v>4.3431417932300001E-4</v>
      </c>
      <c r="H4" s="22">
        <v>3.1313835829499996E-7</v>
      </c>
      <c r="I4" s="22">
        <v>475933947.352</v>
      </c>
      <c r="J4" s="22">
        <v>332175.63218700001</v>
      </c>
      <c r="K4" s="22">
        <f t="shared" si="0"/>
        <v>1.9616230837220971E-2</v>
      </c>
      <c r="L4" s="22">
        <f t="shared" si="1"/>
        <v>1.3074835636302802E-2</v>
      </c>
      <c r="M4" s="22">
        <f t="shared" si="2"/>
        <v>1.4327780283535985</v>
      </c>
      <c r="N4" s="21">
        <v>6.5160338794800001</v>
      </c>
      <c r="O4" s="21">
        <v>0</v>
      </c>
      <c r="P4" s="22">
        <v>4.3431417932300001E-4</v>
      </c>
      <c r="Q4" s="22">
        <v>0</v>
      </c>
      <c r="R4" s="23">
        <v>4.7505019606400003</v>
      </c>
      <c r="S4" s="23">
        <v>1.76553195895</v>
      </c>
      <c r="T4" s="23">
        <v>0</v>
      </c>
      <c r="U4" s="23">
        <v>0</v>
      </c>
      <c r="V4" s="23">
        <v>0</v>
      </c>
      <c r="W4" s="23">
        <v>0</v>
      </c>
      <c r="X4" s="22">
        <v>4.2254395131799996E-4</v>
      </c>
      <c r="Y4" s="22">
        <v>1.1770213244000001E-5</v>
      </c>
      <c r="Z4" s="22">
        <v>0</v>
      </c>
      <c r="AA4" s="22">
        <v>0</v>
      </c>
      <c r="AB4" s="22">
        <v>0</v>
      </c>
      <c r="AC4" s="22">
        <v>0</v>
      </c>
      <c r="AD4" s="21">
        <v>0</v>
      </c>
      <c r="AE4" s="21">
        <v>0</v>
      </c>
      <c r="AF4" s="21">
        <v>4.7505020050999995</v>
      </c>
      <c r="AG4" s="21">
        <v>0</v>
      </c>
      <c r="AH4" s="21">
        <v>0</v>
      </c>
      <c r="AI4" s="21">
        <v>0</v>
      </c>
      <c r="AJ4" s="21">
        <v>0</v>
      </c>
      <c r="AK4" s="21">
        <v>0</v>
      </c>
      <c r="AL4" s="21">
        <v>1.76553197403</v>
      </c>
      <c r="AM4" s="21">
        <v>0</v>
      </c>
      <c r="AN4" s="21">
        <v>0</v>
      </c>
      <c r="AO4" s="21">
        <v>0</v>
      </c>
      <c r="AP4" s="22">
        <v>0</v>
      </c>
      <c r="AQ4" s="22">
        <v>0</v>
      </c>
      <c r="AR4" s="22">
        <v>1.17702131141E-5</v>
      </c>
      <c r="AS4" s="22">
        <v>0</v>
      </c>
      <c r="AT4" s="22">
        <v>0</v>
      </c>
      <c r="AU4" s="22">
        <v>4.2254394900199997E-4</v>
      </c>
      <c r="AV4" s="22">
        <v>0</v>
      </c>
      <c r="AW4" s="22">
        <v>0</v>
      </c>
      <c r="AX4" s="22">
        <v>0</v>
      </c>
      <c r="AY4" s="22">
        <v>0</v>
      </c>
      <c r="AZ4" s="22">
        <v>0</v>
      </c>
      <c r="BA4" s="22">
        <v>0</v>
      </c>
      <c r="BB4" s="7">
        <v>7.6549068446000001</v>
      </c>
      <c r="BC4" s="1">
        <v>1.21202690609E-4</v>
      </c>
      <c r="BD4" s="9">
        <v>1</v>
      </c>
      <c r="BE4" s="9">
        <v>0</v>
      </c>
      <c r="BF4" s="10">
        <v>0</v>
      </c>
      <c r="BG4" s="11">
        <v>-41.866184923200002</v>
      </c>
      <c r="BH4" s="15">
        <v>24</v>
      </c>
      <c r="BI4" s="20">
        <v>1</v>
      </c>
      <c r="BJ4" s="15">
        <v>24</v>
      </c>
      <c r="BK4" s="13">
        <f t="shared" si="3"/>
        <v>2879227.5831280537</v>
      </c>
      <c r="BL4" s="13">
        <f t="shared" si="10"/>
        <v>473054719.76887202</v>
      </c>
      <c r="BM4" s="14">
        <v>0.60496369278709627</v>
      </c>
      <c r="BN4" s="14">
        <v>99.395036307212919</v>
      </c>
      <c r="BO4" s="16">
        <v>1.3743267332691382</v>
      </c>
      <c r="BP4" s="16">
        <v>0.57648367838228221</v>
      </c>
      <c r="BQ4" s="16">
        <v>1.9523636363636365</v>
      </c>
      <c r="BR4" s="16">
        <v>0.36194509090909094</v>
      </c>
      <c r="BS4" s="16">
        <v>6.3454545454545456E-3</v>
      </c>
      <c r="BT4" s="16">
        <v>42.909090909090907</v>
      </c>
      <c r="BU4" s="16">
        <v>25.489090909090908</v>
      </c>
      <c r="BV4" s="16">
        <v>0.63454545454545463</v>
      </c>
      <c r="BW4" s="16">
        <f>BT4*5.66</f>
        <v>242.86545454545453</v>
      </c>
      <c r="BX4" s="16">
        <f>BU4*1.36</f>
        <v>34.665163636363637</v>
      </c>
      <c r="BY4" s="16">
        <f>BV4*1.36</f>
        <v>0.86298181818181841</v>
      </c>
      <c r="BZ4" s="16">
        <v>7.1999999999999998E-3</v>
      </c>
      <c r="CA4" s="16">
        <f t="shared" si="4"/>
        <v>128.65371428571427</v>
      </c>
      <c r="CB4" s="9">
        <f t="shared" si="5"/>
        <v>94.599490140025679</v>
      </c>
      <c r="CC4" s="16">
        <f t="shared" si="6"/>
        <v>1.143531463862141</v>
      </c>
      <c r="CD4" s="16">
        <f t="shared" si="7"/>
        <v>3.7269450461703584</v>
      </c>
      <c r="CE4" s="17">
        <f t="shared" si="8"/>
        <v>99.469966650058183</v>
      </c>
      <c r="CF4" s="9">
        <f t="shared" si="9"/>
        <v>54.76594944631681</v>
      </c>
      <c r="CG4" s="18">
        <v>695090.90909090918</v>
      </c>
      <c r="CH4" s="9">
        <f t="shared" si="11"/>
        <v>2.9690562074244169</v>
      </c>
      <c r="CI4" s="9">
        <f t="shared" si="12"/>
        <v>0.39014287086376859</v>
      </c>
      <c r="CJ4" s="5">
        <v>0</v>
      </c>
      <c r="CK4" s="5">
        <v>0</v>
      </c>
      <c r="CL4" s="5">
        <v>0</v>
      </c>
    </row>
    <row r="5" spans="1:90" x14ac:dyDescent="0.25">
      <c r="A5" s="2" t="s">
        <v>162</v>
      </c>
      <c r="B5" s="1" t="s">
        <v>3</v>
      </c>
      <c r="C5" s="1" t="s">
        <v>321</v>
      </c>
      <c r="D5" s="1" t="s">
        <v>335</v>
      </c>
      <c r="E5" s="1" t="s">
        <v>329</v>
      </c>
      <c r="F5" s="21">
        <v>9320.0338341900006</v>
      </c>
      <c r="G5" s="22">
        <v>1.14203847073</v>
      </c>
      <c r="H5" s="22">
        <v>2.2235826660199999E-2</v>
      </c>
      <c r="I5" s="22">
        <v>2636719596.5700002</v>
      </c>
      <c r="J5" s="22">
        <v>227316.66065800001</v>
      </c>
      <c r="K5" s="22">
        <f t="shared" si="0"/>
        <v>41.000223244578081</v>
      </c>
      <c r="L5" s="22">
        <f t="shared" si="1"/>
        <v>50.239980977382345</v>
      </c>
      <c r="M5" s="22">
        <f t="shared" si="2"/>
        <v>11.599323995599992</v>
      </c>
      <c r="N5" s="21">
        <v>9320.0338341900006</v>
      </c>
      <c r="O5" s="21">
        <v>0</v>
      </c>
      <c r="P5" s="22">
        <v>1.14203847073</v>
      </c>
      <c r="Q5" s="22">
        <v>0</v>
      </c>
      <c r="R5" s="23">
        <v>6723.4008192600004</v>
      </c>
      <c r="S5" s="23">
        <v>2596.6329802199998</v>
      </c>
      <c r="T5" s="23">
        <v>0</v>
      </c>
      <c r="U5" s="23">
        <v>0</v>
      </c>
      <c r="V5" s="23">
        <v>0</v>
      </c>
      <c r="W5" s="23">
        <v>0</v>
      </c>
      <c r="X5" s="22">
        <v>0.59802782563400003</v>
      </c>
      <c r="Y5" s="22">
        <v>0.54401063537499994</v>
      </c>
      <c r="Z5" s="22">
        <v>0</v>
      </c>
      <c r="AA5" s="22">
        <v>0</v>
      </c>
      <c r="AB5" s="22">
        <v>0</v>
      </c>
      <c r="AC5" s="22">
        <v>0</v>
      </c>
      <c r="AD5" s="21">
        <v>6099.1144107700002</v>
      </c>
      <c r="AE5" s="21">
        <v>107.649621451</v>
      </c>
      <c r="AF5" s="21">
        <v>516.63673050599994</v>
      </c>
      <c r="AG5" s="21">
        <v>0</v>
      </c>
      <c r="AH5" s="21">
        <v>0</v>
      </c>
      <c r="AI5" s="21">
        <v>0</v>
      </c>
      <c r="AJ5" s="21">
        <v>2340.30711462</v>
      </c>
      <c r="AK5" s="21">
        <v>43.5714991328</v>
      </c>
      <c r="AL5" s="21">
        <v>212.75436233000002</v>
      </c>
      <c r="AM5" s="21">
        <v>0</v>
      </c>
      <c r="AN5" s="21">
        <v>0</v>
      </c>
      <c r="AO5" s="21">
        <v>0</v>
      </c>
      <c r="AP5" s="22">
        <v>0.49030878885099999</v>
      </c>
      <c r="AQ5" s="22">
        <v>9.1284979944599998E-3</v>
      </c>
      <c r="AR5" s="22">
        <v>4.4573352217999997E-2</v>
      </c>
      <c r="AS5" s="22">
        <v>0.54249928604200004</v>
      </c>
      <c r="AT5" s="22">
        <v>9.575134799409999E-3</v>
      </c>
      <c r="AU5" s="22">
        <v>4.5953402025300003E-2</v>
      </c>
      <c r="AV5" s="22">
        <v>0</v>
      </c>
      <c r="AW5" s="22">
        <v>0</v>
      </c>
      <c r="AX5" s="22">
        <v>0</v>
      </c>
      <c r="AY5" s="22">
        <v>0</v>
      </c>
      <c r="AZ5" s="22">
        <v>0</v>
      </c>
      <c r="BA5" s="22">
        <v>0</v>
      </c>
      <c r="BB5" s="7">
        <v>614.28506445899995</v>
      </c>
      <c r="BC5" s="1">
        <v>2.1670612100599999E-2</v>
      </c>
      <c r="BD5" s="9">
        <v>0.12</v>
      </c>
      <c r="BE5" s="9">
        <v>1.7999999999999999E-2</v>
      </c>
      <c r="BF5" s="10">
        <v>0.86299999999999999</v>
      </c>
      <c r="BG5" s="11">
        <v>-37.9092197947</v>
      </c>
      <c r="BH5" s="15">
        <v>754.22222222222217</v>
      </c>
      <c r="BI5" s="20">
        <v>1</v>
      </c>
      <c r="BJ5" s="15">
        <v>754.22222222222217</v>
      </c>
      <c r="BK5" s="13">
        <f t="shared" si="3"/>
        <v>2636719596.5700002</v>
      </c>
      <c r="BL5" s="13">
        <f t="shared" si="10"/>
        <v>0</v>
      </c>
      <c r="BM5" s="14">
        <v>100</v>
      </c>
      <c r="BN5" s="14">
        <v>0</v>
      </c>
      <c r="BO5" s="16">
        <v>0.14181818181818182</v>
      </c>
      <c r="BP5" s="16">
        <v>5.2051948051948051E-2</v>
      </c>
      <c r="BQ5" s="16">
        <v>6.7637404545454549</v>
      </c>
      <c r="BR5" s="16">
        <v>0.3445178181818182</v>
      </c>
      <c r="BS5" s="16">
        <v>0.36359999999999998</v>
      </c>
      <c r="BT5" s="5">
        <v>148.65363636363637</v>
      </c>
      <c r="BU5" s="5">
        <v>24.261818181818182</v>
      </c>
      <c r="BV5" s="5">
        <v>36.36</v>
      </c>
      <c r="BW5" s="16">
        <f>BT5*4</f>
        <v>594.61454545454546</v>
      </c>
      <c r="BX5" s="16">
        <f>BU5*1.29</f>
        <v>31.297745454545456</v>
      </c>
      <c r="BY5" s="16">
        <f>BV5*1.47</f>
        <v>53.449199999999998</v>
      </c>
      <c r="BZ5" s="16">
        <v>8.5599999999999999E-3</v>
      </c>
      <c r="CA5" s="16">
        <f t="shared" si="4"/>
        <v>529.8949994285714</v>
      </c>
      <c r="CB5" s="9">
        <f t="shared" si="5"/>
        <v>9.7618181818181817</v>
      </c>
      <c r="CC5" s="16">
        <f t="shared" si="6"/>
        <v>0.11800218181818183</v>
      </c>
      <c r="CD5" s="16">
        <f t="shared" si="7"/>
        <v>0.38458727272727272</v>
      </c>
      <c r="CE5" s="17">
        <f t="shared" si="8"/>
        <v>10.264407636363638</v>
      </c>
      <c r="CF5" s="9">
        <f t="shared" si="9"/>
        <v>4.9449350649350645</v>
      </c>
      <c r="CG5" s="18">
        <v>221000</v>
      </c>
      <c r="CH5" s="9">
        <f t="shared" si="11"/>
        <v>1.694125976974026</v>
      </c>
      <c r="CI5" s="9">
        <f t="shared" si="12"/>
        <v>0.27060694910161037</v>
      </c>
      <c r="CJ5" s="5">
        <v>54.721753758071998</v>
      </c>
      <c r="CK5" s="5">
        <v>1.5856899987854656</v>
      </c>
      <c r="CL5" s="5">
        <v>55.439726380355701</v>
      </c>
    </row>
    <row r="6" spans="1:90" x14ac:dyDescent="0.25">
      <c r="A6" s="2" t="s">
        <v>163</v>
      </c>
      <c r="B6" s="1" t="s">
        <v>4</v>
      </c>
      <c r="C6" s="1" t="s">
        <v>334</v>
      </c>
      <c r="D6" s="1" t="s">
        <v>334</v>
      </c>
      <c r="E6" s="1" t="s">
        <v>339</v>
      </c>
      <c r="F6" s="21">
        <v>25285.184809599999</v>
      </c>
      <c r="G6" s="22">
        <v>2.25044064102</v>
      </c>
      <c r="H6" s="22">
        <v>6.3541190755E-4</v>
      </c>
      <c r="I6" s="22">
        <v>24325833242.900002</v>
      </c>
      <c r="J6" s="22">
        <v>1774664.76844</v>
      </c>
      <c r="K6" s="22">
        <f t="shared" si="0"/>
        <v>14.247865433101863</v>
      </c>
      <c r="L6" s="22">
        <f t="shared" si="1"/>
        <v>12.680933779951161</v>
      </c>
      <c r="M6" s="22">
        <f t="shared" si="2"/>
        <v>13.707283581384987</v>
      </c>
      <c r="N6" s="21">
        <v>21769.6582299</v>
      </c>
      <c r="O6" s="21">
        <v>3515.5265019100002</v>
      </c>
      <c r="P6" s="22">
        <v>1.9375546485099999</v>
      </c>
      <c r="Q6" s="22">
        <v>0.31288599312100002</v>
      </c>
      <c r="R6" s="23">
        <v>18105.877638000002</v>
      </c>
      <c r="S6" s="23">
        <v>3663.7805956900002</v>
      </c>
      <c r="T6" s="23">
        <v>0</v>
      </c>
      <c r="U6" s="23">
        <v>2938.3521262200002</v>
      </c>
      <c r="V6" s="23">
        <v>577.174372748</v>
      </c>
      <c r="W6" s="23">
        <v>0</v>
      </c>
      <c r="X6" s="22">
        <v>1.61046751968</v>
      </c>
      <c r="Y6" s="22">
        <v>0.32708712890399999</v>
      </c>
      <c r="Z6" s="22">
        <v>0</v>
      </c>
      <c r="AA6" s="22">
        <v>0.261358259772</v>
      </c>
      <c r="AB6" s="22">
        <v>5.1527733233899996E-2</v>
      </c>
      <c r="AC6" s="22">
        <v>0</v>
      </c>
      <c r="AD6" s="21">
        <v>883.88977316700004</v>
      </c>
      <c r="AE6" s="21">
        <v>2719.1365654899996</v>
      </c>
      <c r="AF6" s="21">
        <v>14502.8512811</v>
      </c>
      <c r="AG6" s="21">
        <v>505.54678272399997</v>
      </c>
      <c r="AH6" s="21">
        <v>2432.8053486999997</v>
      </c>
      <c r="AI6" s="21">
        <v>0</v>
      </c>
      <c r="AJ6" s="21">
        <v>177.848757417</v>
      </c>
      <c r="AK6" s="21">
        <v>553.05451073899997</v>
      </c>
      <c r="AL6" s="21">
        <v>2932.8773221900001</v>
      </c>
      <c r="AM6" s="21">
        <v>99.303498835899987</v>
      </c>
      <c r="AN6" s="21">
        <v>477.87087331099997</v>
      </c>
      <c r="AO6" s="21">
        <v>0</v>
      </c>
      <c r="AP6" s="22">
        <v>1.5877599142400001E-2</v>
      </c>
      <c r="AQ6" s="22">
        <v>4.9374412034400003E-2</v>
      </c>
      <c r="AR6" s="22">
        <v>0.26183511795499997</v>
      </c>
      <c r="AS6" s="22">
        <v>7.8619539893300006E-2</v>
      </c>
      <c r="AT6" s="22">
        <v>0.24185964410899999</v>
      </c>
      <c r="AU6" s="22">
        <v>1.28998833602</v>
      </c>
      <c r="AV6" s="22">
        <v>4.4966981975800006E-2</v>
      </c>
      <c r="AW6" s="22">
        <v>0.21639127787699999</v>
      </c>
      <c r="AX6" s="22">
        <v>0</v>
      </c>
      <c r="AY6" s="22">
        <v>8.8654043437099983E-3</v>
      </c>
      <c r="AZ6" s="22">
        <v>4.26623288479E-2</v>
      </c>
      <c r="BA6" s="22">
        <v>0</v>
      </c>
      <c r="BB6" s="7">
        <v>8688.6680486799996</v>
      </c>
      <c r="BC6" s="1">
        <v>0.171359842028</v>
      </c>
      <c r="BD6" s="9">
        <v>0.82699999999999996</v>
      </c>
      <c r="BE6" s="9">
        <v>0.11899999999999999</v>
      </c>
      <c r="BF6" s="10">
        <v>5.3999999999999999E-2</v>
      </c>
      <c r="BG6" s="11">
        <v>-15.174266413</v>
      </c>
      <c r="BH6" s="15">
        <v>342.88888888888891</v>
      </c>
      <c r="BI6" s="20">
        <v>0.93730964467005085</v>
      </c>
      <c r="BJ6" s="15">
        <v>321.39306260575302</v>
      </c>
      <c r="BK6" s="13">
        <f t="shared" si="3"/>
        <v>6437241955.3373947</v>
      </c>
      <c r="BL6" s="13">
        <f t="shared" si="10"/>
        <v>17888591287.562607</v>
      </c>
      <c r="BM6" s="14">
        <v>26.46257536611305</v>
      </c>
      <c r="BN6" s="14">
        <v>73.537424633886957</v>
      </c>
      <c r="BO6" s="16">
        <v>1.2057252864960994</v>
      </c>
      <c r="BP6" s="16">
        <v>0.50576106209067151</v>
      </c>
      <c r="BQ6" s="16">
        <v>0.91537727272727276</v>
      </c>
      <c r="BR6" s="16">
        <v>0.19849018181818182</v>
      </c>
      <c r="BS6" s="16">
        <v>1.0072727272727277E-2</v>
      </c>
      <c r="BT6" s="16">
        <v>20.118181818181821</v>
      </c>
      <c r="BU6" s="16">
        <v>13.978181818181817</v>
      </c>
      <c r="BV6" s="16">
        <v>1.0072727272727273</v>
      </c>
      <c r="BW6" s="16">
        <f>BT6*3.53</f>
        <v>71.017181818181825</v>
      </c>
      <c r="BX6" s="16">
        <f>BU6*0.54</f>
        <v>7.5482181818181813</v>
      </c>
      <c r="BY6" s="16">
        <f>BV6*1.02</f>
        <v>1.0274181818181818</v>
      </c>
      <c r="BZ6" s="16">
        <v>2.4420000000000001E-2</v>
      </c>
      <c r="CA6" s="16">
        <f t="shared" si="4"/>
        <v>204.58552714285716</v>
      </c>
      <c r="CB6" s="9">
        <f t="shared" si="5"/>
        <v>82.994090553814843</v>
      </c>
      <c r="CC6" s="16">
        <f t="shared" si="6"/>
        <v>1.0032438200505214</v>
      </c>
      <c r="CD6" s="16">
        <f t="shared" si="7"/>
        <v>3.2697260227630061</v>
      </c>
      <c r="CE6" s="17">
        <f t="shared" si="8"/>
        <v>87.267060396628381</v>
      </c>
      <c r="CF6" s="9">
        <f t="shared" si="9"/>
        <v>48.047300898613791</v>
      </c>
      <c r="CG6" s="18">
        <v>33669063.63636364</v>
      </c>
      <c r="CH6" s="9">
        <f t="shared" si="11"/>
        <v>95.466156288438128</v>
      </c>
      <c r="CI6" s="9">
        <f t="shared" si="12"/>
        <v>14.123926634176426</v>
      </c>
      <c r="CJ6" s="5">
        <v>56.186123710805568</v>
      </c>
      <c r="CK6" s="5">
        <v>22.495676886289477</v>
      </c>
      <c r="CL6" s="5">
        <v>66.042351752181347</v>
      </c>
    </row>
    <row r="7" spans="1:90" x14ac:dyDescent="0.25">
      <c r="A7" s="2" t="s">
        <v>164</v>
      </c>
      <c r="B7" s="1" t="s">
        <v>5</v>
      </c>
      <c r="C7" s="1" t="s">
        <v>321</v>
      </c>
      <c r="D7" s="1" t="s">
        <v>335</v>
      </c>
      <c r="E7" s="1" t="s">
        <v>329</v>
      </c>
      <c r="F7" s="21">
        <v>724.98724758599997</v>
      </c>
      <c r="G7" s="22">
        <v>6.2980888059600004E-2</v>
      </c>
      <c r="H7" s="22">
        <v>4.4542119360000001E-4</v>
      </c>
      <c r="I7" s="22">
        <v>1263722548.3800001</v>
      </c>
      <c r="J7" s="22">
        <v>273273.62754100002</v>
      </c>
      <c r="K7" s="22">
        <f t="shared" si="0"/>
        <v>2.652971873318541</v>
      </c>
      <c r="L7" s="22">
        <f t="shared" si="1"/>
        <v>2.3046822566202736</v>
      </c>
      <c r="M7" s="22">
        <f t="shared" si="2"/>
        <v>4.6243853084227826</v>
      </c>
      <c r="N7" s="21">
        <v>576.89444279400004</v>
      </c>
      <c r="O7" s="21">
        <v>148.092800971</v>
      </c>
      <c r="P7" s="22">
        <v>5.01074365886E-2</v>
      </c>
      <c r="Q7" s="22">
        <v>1.2873451445299999E-2</v>
      </c>
      <c r="R7" s="23">
        <v>488.17562682800002</v>
      </c>
      <c r="S7" s="23">
        <v>88.718817334799994</v>
      </c>
      <c r="T7" s="23">
        <v>0</v>
      </c>
      <c r="U7" s="23">
        <v>126.092531585</v>
      </c>
      <c r="V7" s="23">
        <v>22.000269473399999</v>
      </c>
      <c r="W7" s="23">
        <v>0</v>
      </c>
      <c r="X7" s="22">
        <v>4.3421865600300001E-2</v>
      </c>
      <c r="Y7" s="22">
        <v>6.6855708236800001E-3</v>
      </c>
      <c r="Z7" s="22">
        <v>0</v>
      </c>
      <c r="AA7" s="22">
        <v>1.1215580458300001E-2</v>
      </c>
      <c r="AB7" s="22">
        <v>1.65787103632E-3</v>
      </c>
      <c r="AC7" s="22">
        <v>0</v>
      </c>
      <c r="AD7" s="21">
        <v>1.9047561071899999</v>
      </c>
      <c r="AE7" s="21">
        <v>59.551731775900002</v>
      </c>
      <c r="AF7" s="21">
        <v>426.71913973599999</v>
      </c>
      <c r="AG7" s="21">
        <v>2.48805507956</v>
      </c>
      <c r="AH7" s="21">
        <v>123.60447700100001</v>
      </c>
      <c r="AI7" s="21">
        <v>0</v>
      </c>
      <c r="AJ7" s="21">
        <v>0.34604665103100002</v>
      </c>
      <c r="AK7" s="21">
        <v>10.762041223799999</v>
      </c>
      <c r="AL7" s="21">
        <v>77.610730129899991</v>
      </c>
      <c r="AM7" s="21">
        <v>0.43410883522900001</v>
      </c>
      <c r="AN7" s="21">
        <v>21.566160558100002</v>
      </c>
      <c r="AO7" s="21">
        <v>0</v>
      </c>
      <c r="AP7" s="22">
        <v>2.60769862636E-5</v>
      </c>
      <c r="AQ7" s="22">
        <v>8.1099354007099994E-4</v>
      </c>
      <c r="AR7" s="22">
        <v>5.84850027689E-3</v>
      </c>
      <c r="AS7" s="22">
        <v>1.6942276512200001E-4</v>
      </c>
      <c r="AT7" s="22">
        <v>5.2969611359700002E-3</v>
      </c>
      <c r="AU7" s="22">
        <v>3.7955481855000001E-2</v>
      </c>
      <c r="AV7" s="22">
        <v>2.2130558798399999E-4</v>
      </c>
      <c r="AW7" s="22">
        <v>1.09942748454E-2</v>
      </c>
      <c r="AX7" s="22">
        <v>0</v>
      </c>
      <c r="AY7" s="22">
        <v>3.2713075173000003E-5</v>
      </c>
      <c r="AZ7" s="22">
        <v>1.62515797009E-3</v>
      </c>
      <c r="BA7" s="22">
        <v>0</v>
      </c>
      <c r="BB7" s="7">
        <v>42.782691851300001</v>
      </c>
      <c r="BC7" s="1">
        <v>2.36493214607E-3</v>
      </c>
      <c r="BD7" s="9">
        <v>0.90500000000000003</v>
      </c>
      <c r="BE7" s="9">
        <v>9.0999999999999998E-2</v>
      </c>
      <c r="BF7" s="10">
        <v>4.0000000000000001E-3</v>
      </c>
      <c r="BG7" s="11">
        <v>-35.267965541800002</v>
      </c>
      <c r="BH7" s="15">
        <v>269.66666666666669</v>
      </c>
      <c r="BI7" s="20">
        <v>1.006</v>
      </c>
      <c r="BJ7" s="15">
        <v>271.28466666666668</v>
      </c>
      <c r="BK7" s="13">
        <f t="shared" si="3"/>
        <v>225245077.37577966</v>
      </c>
      <c r="BL7" s="13">
        <f t="shared" si="10"/>
        <v>1038477471.0042205</v>
      </c>
      <c r="BM7" s="14">
        <v>17.823934348922347</v>
      </c>
      <c r="BN7" s="14">
        <v>82.17606565107765</v>
      </c>
      <c r="BO7" s="16">
        <v>2.8326960685483877</v>
      </c>
      <c r="BP7" s="16">
        <v>1.0396928427419356</v>
      </c>
      <c r="BQ7" s="16">
        <v>1.9754859090909092</v>
      </c>
      <c r="BR7" s="16">
        <v>4.1337777777777788E-3</v>
      </c>
      <c r="BS7" s="16">
        <v>2.3333333333333333E-4</v>
      </c>
      <c r="BT7" s="16">
        <v>43.417272727272724</v>
      </c>
      <c r="BU7" s="16">
        <v>0.2911111111111111</v>
      </c>
      <c r="BV7" s="16">
        <v>2.3333333333333334E-2</v>
      </c>
      <c r="BW7" s="16">
        <f>BT7*4</f>
        <v>173.6690909090909</v>
      </c>
      <c r="BX7" s="16">
        <f>BU7*1.29</f>
        <v>0.37553333333333333</v>
      </c>
      <c r="BY7" s="16">
        <f>BV7*1.47</f>
        <v>3.4300000000000004E-2</v>
      </c>
      <c r="BZ7" s="16">
        <v>2.66E-3</v>
      </c>
      <c r="CA7" s="16">
        <f t="shared" si="4"/>
        <v>48.093312999999995</v>
      </c>
      <c r="CB7" s="9">
        <f t="shared" si="5"/>
        <v>194.98391271841402</v>
      </c>
      <c r="CC7" s="16">
        <f t="shared" si="6"/>
        <v>2.3569919754368285</v>
      </c>
      <c r="CD7" s="16">
        <f t="shared" si="7"/>
        <v>7.6817996218918028</v>
      </c>
      <c r="CE7" s="17">
        <f t="shared" si="8"/>
        <v>205.02270431574266</v>
      </c>
      <c r="CF7" s="9">
        <f t="shared" si="9"/>
        <v>98.770820060483885</v>
      </c>
      <c r="CG7" s="18">
        <v>499672.72727272724</v>
      </c>
      <c r="CH7" s="9">
        <f t="shared" si="11"/>
        <v>2.9242056865685924</v>
      </c>
      <c r="CI7" s="9">
        <f t="shared" si="12"/>
        <v>0.26281074656006836</v>
      </c>
      <c r="CJ7" s="5">
        <v>0</v>
      </c>
      <c r="CK7" s="5">
        <v>28.283461395819366</v>
      </c>
      <c r="CL7" s="5">
        <v>28.283461395819366</v>
      </c>
    </row>
    <row r="8" spans="1:90" x14ac:dyDescent="0.25">
      <c r="A8" s="2" t="s">
        <v>165</v>
      </c>
      <c r="B8" s="1" t="s">
        <v>6</v>
      </c>
      <c r="C8" s="1" t="s">
        <v>332</v>
      </c>
      <c r="D8" s="1" t="s">
        <v>333</v>
      </c>
      <c r="E8" s="1" t="s">
        <v>339</v>
      </c>
      <c r="F8" s="21">
        <v>4.4865379575600002E-2</v>
      </c>
      <c r="G8" s="22">
        <v>6.4398498535200004E-6</v>
      </c>
      <c r="H8" s="22">
        <v>0</v>
      </c>
      <c r="I8" s="22">
        <v>56411.0224609</v>
      </c>
      <c r="J8" s="22">
        <v>107.01848864599999</v>
      </c>
      <c r="K8" s="22">
        <f t="shared" si="0"/>
        <v>0.41923017361988252</v>
      </c>
      <c r="L8" s="22">
        <f t="shared" si="1"/>
        <v>0.60175114926374929</v>
      </c>
      <c r="M8" s="22">
        <f t="shared" si="2"/>
        <v>0.52711473666478903</v>
      </c>
      <c r="N8" s="21">
        <v>1.34030613117E-2</v>
      </c>
      <c r="O8" s="21">
        <v>3.1462319195300001E-2</v>
      </c>
      <c r="P8" s="22">
        <v>1.8393707126400001E-6</v>
      </c>
      <c r="Q8" s="22">
        <v>4.6004790663700004E-6</v>
      </c>
      <c r="R8" s="23">
        <v>7.3198932514099996E-3</v>
      </c>
      <c r="S8" s="23">
        <v>6.0831670416499999E-3</v>
      </c>
      <c r="T8" s="23">
        <v>0</v>
      </c>
      <c r="U8" s="23">
        <v>1.4525160426299999E-2</v>
      </c>
      <c r="V8" s="23">
        <v>1.6937159467500001E-2</v>
      </c>
      <c r="W8" s="23">
        <v>0</v>
      </c>
      <c r="X8" s="22">
        <v>6.5108417719600002E-7</v>
      </c>
      <c r="Y8" s="22">
        <v>1.1882864832900001E-6</v>
      </c>
      <c r="Z8" s="22">
        <v>0</v>
      </c>
      <c r="AA8" s="22">
        <v>1.29197260737E-6</v>
      </c>
      <c r="AB8" s="22">
        <v>3.3085063695899998E-6</v>
      </c>
      <c r="AC8" s="22">
        <v>0</v>
      </c>
      <c r="AD8" s="21">
        <v>5.3503899383499998E-3</v>
      </c>
      <c r="AE8" s="21">
        <v>1.8271374511700002E-3</v>
      </c>
      <c r="AF8" s="21">
        <v>1.4236591720600002E-4</v>
      </c>
      <c r="AG8" s="21">
        <v>9.4681829834000007E-3</v>
      </c>
      <c r="AH8" s="21">
        <v>5.0569775390599996E-3</v>
      </c>
      <c r="AI8" s="21">
        <v>0</v>
      </c>
      <c r="AJ8" s="21">
        <v>4.30136587524E-3</v>
      </c>
      <c r="AK8" s="21">
        <v>1.6718842926E-3</v>
      </c>
      <c r="AL8" s="21">
        <v>1.0991702270499999E-4</v>
      </c>
      <c r="AM8" s="21">
        <v>1.1040437011700001E-2</v>
      </c>
      <c r="AN8" s="21">
        <v>5.8967220459E-3</v>
      </c>
      <c r="AO8" s="21">
        <v>0</v>
      </c>
      <c r="AP8" s="22">
        <v>8.4022925000000003E-7</v>
      </c>
      <c r="AQ8" s="22">
        <v>3.2658604687499998E-7</v>
      </c>
      <c r="AR8" s="22">
        <v>2.1471202026399998E-8</v>
      </c>
      <c r="AS8" s="22">
        <v>4.75902300781E-7</v>
      </c>
      <c r="AT8" s="22">
        <v>1.6251879882799999E-7</v>
      </c>
      <c r="AU8" s="22">
        <v>1.2663053283699998E-8</v>
      </c>
      <c r="AV8" s="22">
        <v>8.4216854687499996E-7</v>
      </c>
      <c r="AW8" s="22">
        <v>4.4980409765600002E-7</v>
      </c>
      <c r="AX8" s="22">
        <v>0</v>
      </c>
      <c r="AY8" s="22">
        <v>2.156640125E-6</v>
      </c>
      <c r="AZ8" s="22">
        <v>1.15186626562E-6</v>
      </c>
      <c r="BA8" s="22">
        <v>0</v>
      </c>
      <c r="BB8" s="7">
        <v>0</v>
      </c>
      <c r="BC8" s="1">
        <v>0</v>
      </c>
      <c r="BD8" s="9">
        <v>2.3E-2</v>
      </c>
      <c r="BE8" s="9">
        <v>0.192</v>
      </c>
      <c r="BF8" s="10">
        <v>0.78500000000000003</v>
      </c>
      <c r="BG8" s="11">
        <v>-19.794230401499998</v>
      </c>
      <c r="BH8" s="12">
        <v>703.22436359999995</v>
      </c>
      <c r="BI8" s="20">
        <v>1</v>
      </c>
      <c r="BJ8" s="15">
        <v>703.22436359999995</v>
      </c>
      <c r="BK8" s="13">
        <f t="shared" si="3"/>
        <v>8461.6517333991287</v>
      </c>
      <c r="BL8" s="13">
        <f t="shared" si="10"/>
        <v>47949.370727500871</v>
      </c>
      <c r="BM8" s="14">
        <v>14.999997100325787</v>
      </c>
      <c r="BN8" s="14">
        <v>85.000002899674215</v>
      </c>
      <c r="BO8" s="16">
        <v>5.0960000000000001</v>
      </c>
      <c r="BP8" s="16">
        <v>2.1375999999999999</v>
      </c>
      <c r="BQ8" s="16">
        <v>0.10818888888888889</v>
      </c>
      <c r="BR8" s="16">
        <v>3.6209999999999992E-2</v>
      </c>
      <c r="BS8" s="16">
        <v>3.0000000000000002E-2</v>
      </c>
      <c r="BT8" s="16">
        <v>2.3777777777777782</v>
      </c>
      <c r="BU8" s="16">
        <v>2.5499999999999998</v>
      </c>
      <c r="BV8" s="16">
        <v>3</v>
      </c>
      <c r="BW8" s="16">
        <f>BT8*3.53</f>
        <v>8.3935555555555563</v>
      </c>
      <c r="BX8" s="16">
        <f>BU8*0.54</f>
        <v>1.377</v>
      </c>
      <c r="BY8" s="16">
        <f>BV8*1.02</f>
        <v>3.06</v>
      </c>
      <c r="BZ8" s="16">
        <v>2.4420000000000001E-2</v>
      </c>
      <c r="CA8" s="16">
        <f t="shared" si="4"/>
        <v>24.180063809523812</v>
      </c>
      <c r="CB8" s="9">
        <f t="shared" si="5"/>
        <v>350.77466666666663</v>
      </c>
      <c r="CC8" s="16">
        <f t="shared" si="6"/>
        <v>4.240211733333334</v>
      </c>
      <c r="CD8" s="16">
        <f t="shared" si="7"/>
        <v>13.819502666666667</v>
      </c>
      <c r="CE8" s="17">
        <f t="shared" si="8"/>
        <v>368.83438106666665</v>
      </c>
      <c r="CF8" s="9">
        <f t="shared" si="9"/>
        <v>203.072</v>
      </c>
      <c r="CG8" s="18">
        <v>5000</v>
      </c>
      <c r="CH8" s="9">
        <f t="shared" si="11"/>
        <v>3.7039994444444439E-2</v>
      </c>
      <c r="CI8" s="9">
        <f t="shared" si="12"/>
        <v>3.0445850021587305E-3</v>
      </c>
      <c r="CJ8" s="5">
        <v>73.408719016598411</v>
      </c>
      <c r="CK8" s="5">
        <v>0</v>
      </c>
      <c r="CL8" s="5">
        <v>73.408719016598411</v>
      </c>
    </row>
    <row r="9" spans="1:90" x14ac:dyDescent="0.25">
      <c r="A9" s="2" t="s">
        <v>166</v>
      </c>
      <c r="B9" s="1" t="s">
        <v>7</v>
      </c>
      <c r="C9" s="1" t="s">
        <v>336</v>
      </c>
      <c r="D9" s="1" t="s">
        <v>336</v>
      </c>
      <c r="E9" s="1" t="s">
        <v>337</v>
      </c>
      <c r="F9" s="21">
        <v>5274.8978884300004</v>
      </c>
      <c r="G9" s="22">
        <v>0.52280102819399998</v>
      </c>
      <c r="H9" s="22">
        <v>1.3621075013600001E-2</v>
      </c>
      <c r="I9" s="22">
        <v>6850132170.3000002</v>
      </c>
      <c r="J9" s="22">
        <v>4051107.5077999998</v>
      </c>
      <c r="K9" s="22">
        <f t="shared" si="0"/>
        <v>1.3020878557959066</v>
      </c>
      <c r="L9" s="22">
        <f t="shared" si="1"/>
        <v>1.290513834025385</v>
      </c>
      <c r="M9" s="22">
        <f t="shared" si="2"/>
        <v>1.6909282602623505</v>
      </c>
      <c r="N9" s="21">
        <v>3026.0874391799998</v>
      </c>
      <c r="O9" s="21">
        <v>2248.8104568200001</v>
      </c>
      <c r="P9" s="22">
        <v>0.30182439301499997</v>
      </c>
      <c r="Q9" s="22">
        <v>0.22097663517900001</v>
      </c>
      <c r="R9" s="23">
        <v>2809.9445797499998</v>
      </c>
      <c r="S9" s="23">
        <v>216.14285792499999</v>
      </c>
      <c r="T9" s="23">
        <v>0</v>
      </c>
      <c r="U9" s="23">
        <v>2110.16598415</v>
      </c>
      <c r="V9" s="23">
        <v>138.644476774</v>
      </c>
      <c r="W9" s="23">
        <v>0</v>
      </c>
      <c r="X9" s="22">
        <v>0.24993676456899999</v>
      </c>
      <c r="Y9" s="22">
        <v>5.18876279057E-2</v>
      </c>
      <c r="Z9" s="22">
        <v>0</v>
      </c>
      <c r="AA9" s="22">
        <v>0.18769340246499999</v>
      </c>
      <c r="AB9" s="22">
        <v>3.3283232693099997E-2</v>
      </c>
      <c r="AC9" s="22">
        <v>0</v>
      </c>
      <c r="AD9" s="21">
        <v>199.32379329300002</v>
      </c>
      <c r="AE9" s="21">
        <v>843.31403459900002</v>
      </c>
      <c r="AF9" s="21">
        <v>1767.3067502599999</v>
      </c>
      <c r="AG9" s="21">
        <v>301.54301610699997</v>
      </c>
      <c r="AH9" s="21">
        <v>1808.6229662000001</v>
      </c>
      <c r="AI9" s="21">
        <v>0</v>
      </c>
      <c r="AJ9" s="21">
        <v>15.3850534631</v>
      </c>
      <c r="AK9" s="21">
        <v>63.202484726199998</v>
      </c>
      <c r="AL9" s="21">
        <v>137.55531935800002</v>
      </c>
      <c r="AM9" s="21">
        <v>19.812315271999999</v>
      </c>
      <c r="AN9" s="21">
        <v>118.83216143899999</v>
      </c>
      <c r="AO9" s="21">
        <v>0</v>
      </c>
      <c r="AP9" s="22">
        <v>3.6933625243700001E-3</v>
      </c>
      <c r="AQ9" s="22">
        <v>1.5172497700100001E-2</v>
      </c>
      <c r="AR9" s="22">
        <v>3.3021767797900003E-2</v>
      </c>
      <c r="AS9" s="22">
        <v>1.77292977216E-2</v>
      </c>
      <c r="AT9" s="22">
        <v>7.5010440818600005E-2</v>
      </c>
      <c r="AU9" s="22">
        <v>0.15719702605399999</v>
      </c>
      <c r="AV9" s="22">
        <v>2.6821413677999999E-2</v>
      </c>
      <c r="AW9" s="22">
        <v>0.16087198892499999</v>
      </c>
      <c r="AX9" s="22">
        <v>0</v>
      </c>
      <c r="AY9" s="22">
        <v>4.7561786459599997E-3</v>
      </c>
      <c r="AZ9" s="22">
        <v>2.8527054047099997E-2</v>
      </c>
      <c r="BA9" s="22">
        <v>0</v>
      </c>
      <c r="BB9" s="7">
        <v>3580.1717920800002</v>
      </c>
      <c r="BC9" s="1">
        <v>0.11038863028500001</v>
      </c>
      <c r="BD9" s="9">
        <v>0.71899999999999997</v>
      </c>
      <c r="BE9" s="9">
        <v>0.20599999999999999</v>
      </c>
      <c r="BF9" s="10">
        <v>7.4999999999999997E-2</v>
      </c>
      <c r="BG9" s="11">
        <v>-27.7795726688</v>
      </c>
      <c r="BH9" s="15">
        <v>864.22222222222217</v>
      </c>
      <c r="BI9" s="20">
        <v>1</v>
      </c>
      <c r="BJ9" s="15">
        <v>864.22222222222217</v>
      </c>
      <c r="BK9" s="13">
        <f t="shared" si="3"/>
        <v>1406350593.2428806</v>
      </c>
      <c r="BL9" s="13">
        <f t="shared" si="10"/>
        <v>5443781577.0571203</v>
      </c>
      <c r="BM9" s="14">
        <v>20.530269464585963</v>
      </c>
      <c r="BN9" s="14">
        <v>79.469730535414044</v>
      </c>
      <c r="BO9" s="16">
        <v>3.8500318876230466</v>
      </c>
      <c r="BP9" s="16">
        <v>2.1196329403287324</v>
      </c>
      <c r="BQ9" s="16">
        <v>1.705050454545455</v>
      </c>
      <c r="BR9" s="16">
        <v>0.56443709090909089</v>
      </c>
      <c r="BS9" s="16">
        <v>8.650909090909091E-2</v>
      </c>
      <c r="BT9" s="16">
        <v>37.473636363636359</v>
      </c>
      <c r="BU9" s="16">
        <v>39.74909090909091</v>
      </c>
      <c r="BV9" s="16">
        <v>8.6509090909090922</v>
      </c>
      <c r="BW9" s="16">
        <f>BT9*6.92</f>
        <v>259.31756363636362</v>
      </c>
      <c r="BX9" s="16">
        <f>BU9*1.66</f>
        <v>65.983490909090904</v>
      </c>
      <c r="BY9" s="16">
        <f>BV9*1.63</f>
        <v>14.10098181818182</v>
      </c>
      <c r="BZ9" s="16">
        <v>4.8500000000000001E-3</v>
      </c>
      <c r="CA9" s="16">
        <f t="shared" si="4"/>
        <v>75.684700357142844</v>
      </c>
      <c r="CB9" s="9">
        <f t="shared" si="5"/>
        <v>265.01052826471971</v>
      </c>
      <c r="CC9" s="16">
        <f t="shared" si="6"/>
        <v>3.2034831992948831</v>
      </c>
      <c r="CD9" s="16">
        <f t="shared" si="7"/>
        <v>10.440644807252433</v>
      </c>
      <c r="CE9" s="17">
        <f t="shared" si="8"/>
        <v>278.65465627126707</v>
      </c>
      <c r="CF9" s="9">
        <f t="shared" si="9"/>
        <v>201.36512933122958</v>
      </c>
      <c r="CG9" s="18">
        <v>24972181.81818182</v>
      </c>
      <c r="CH9" s="9">
        <f t="shared" si="11"/>
        <v>207.90993184351447</v>
      </c>
      <c r="CI9" s="9">
        <f t="shared" si="12"/>
        <v>22.352762822097269</v>
      </c>
      <c r="CJ9" s="5">
        <v>67.699545831270441</v>
      </c>
      <c r="CK9" s="5">
        <v>7.1825408546888001</v>
      </c>
      <c r="CL9" s="5">
        <v>70.019539148189466</v>
      </c>
    </row>
    <row r="10" spans="1:90" x14ac:dyDescent="0.25">
      <c r="A10" s="2" t="s">
        <v>167</v>
      </c>
      <c r="B10" s="1" t="s">
        <v>8</v>
      </c>
      <c r="C10" s="1" t="s">
        <v>324</v>
      </c>
      <c r="D10" s="1" t="s">
        <v>326</v>
      </c>
      <c r="E10" s="1" t="s">
        <v>326</v>
      </c>
      <c r="F10" s="21">
        <v>130.62736011300001</v>
      </c>
      <c r="G10" s="22">
        <v>1.17241699263E-2</v>
      </c>
      <c r="H10" s="22">
        <v>9.5031621828700004E-6</v>
      </c>
      <c r="I10" s="22">
        <v>82091093.970899999</v>
      </c>
      <c r="J10" s="22">
        <v>116276.955661</v>
      </c>
      <c r="K10" s="22">
        <f t="shared" si="0"/>
        <v>1.1234157221473697</v>
      </c>
      <c r="L10" s="22">
        <f t="shared" si="1"/>
        <v>1.0082969458265889</v>
      </c>
      <c r="M10" s="22">
        <f t="shared" si="2"/>
        <v>0.70599624409012507</v>
      </c>
      <c r="N10" s="21">
        <v>113.947375694</v>
      </c>
      <c r="O10" s="21">
        <v>16.6799836613</v>
      </c>
      <c r="P10" s="22">
        <v>1.0227321193399998E-2</v>
      </c>
      <c r="Q10" s="22">
        <v>1.4968487504200001E-3</v>
      </c>
      <c r="R10" s="23">
        <v>44.738253303100002</v>
      </c>
      <c r="S10" s="23">
        <v>69.209122407899997</v>
      </c>
      <c r="T10" s="23">
        <v>0</v>
      </c>
      <c r="U10" s="23">
        <v>6.7440676424600001</v>
      </c>
      <c r="V10" s="23">
        <v>9.9359160088500005</v>
      </c>
      <c r="W10" s="23">
        <v>0</v>
      </c>
      <c r="X10" s="22">
        <v>3.9793433612299997E-3</v>
      </c>
      <c r="Y10" s="22">
        <v>6.2479778812900002E-3</v>
      </c>
      <c r="Z10" s="22">
        <v>0</v>
      </c>
      <c r="AA10" s="22">
        <v>5.9986608025000001E-4</v>
      </c>
      <c r="AB10" s="22">
        <v>8.9698267009999996E-4</v>
      </c>
      <c r="AC10" s="22">
        <v>0</v>
      </c>
      <c r="AD10" s="21">
        <v>0.45421455471700001</v>
      </c>
      <c r="AE10" s="21">
        <v>44.284038839200001</v>
      </c>
      <c r="AF10" s="21">
        <v>0</v>
      </c>
      <c r="AG10" s="21">
        <v>5.29905736557E-2</v>
      </c>
      <c r="AH10" s="21">
        <v>6.6910770045699994</v>
      </c>
      <c r="AI10" s="21">
        <v>0</v>
      </c>
      <c r="AJ10" s="21">
        <v>0.76050151402300004</v>
      </c>
      <c r="AK10" s="21">
        <v>68.448620857800009</v>
      </c>
      <c r="AL10" s="21">
        <v>0</v>
      </c>
      <c r="AM10" s="21">
        <v>7.8070079349199989E-2</v>
      </c>
      <c r="AN10" s="21">
        <v>9.8578459388099997</v>
      </c>
      <c r="AO10" s="21">
        <v>0</v>
      </c>
      <c r="AP10" s="22">
        <v>6.8655640572699999E-5</v>
      </c>
      <c r="AQ10" s="22">
        <v>6.1793222396999995E-3</v>
      </c>
      <c r="AR10" s="22">
        <v>0</v>
      </c>
      <c r="AS10" s="22">
        <v>4.0401122900399996E-5</v>
      </c>
      <c r="AT10" s="22">
        <v>3.9389422537800005E-3</v>
      </c>
      <c r="AU10" s="22">
        <v>0</v>
      </c>
      <c r="AV10" s="22">
        <v>4.7133643638199999E-6</v>
      </c>
      <c r="AW10" s="22">
        <v>5.9515271589E-4</v>
      </c>
      <c r="AX10" s="22">
        <v>0</v>
      </c>
      <c r="AY10" s="22">
        <v>7.0479166447000004E-6</v>
      </c>
      <c r="AZ10" s="22">
        <v>8.8993475594399999E-4</v>
      </c>
      <c r="BA10" s="22">
        <v>0</v>
      </c>
      <c r="BB10" s="7">
        <v>1830.2150645900001</v>
      </c>
      <c r="BC10" s="1">
        <v>2.8978405276500002E-2</v>
      </c>
      <c r="BD10" s="9">
        <v>0</v>
      </c>
      <c r="BE10" s="9">
        <v>0.98299999999999998</v>
      </c>
      <c r="BF10" s="10">
        <v>1.7000000000000001E-2</v>
      </c>
      <c r="BG10" s="11">
        <v>-42.155529243300002</v>
      </c>
      <c r="BH10" s="15">
        <v>200.22222222222223</v>
      </c>
      <c r="BI10" s="20">
        <v>1.6231788079470197</v>
      </c>
      <c r="BJ10" s="15">
        <v>324.99646799116994</v>
      </c>
      <c r="BK10" s="13">
        <f t="shared" ref="BK10:BK73" si="13">I10*BM10*0.01</f>
        <v>66164944.551639438</v>
      </c>
      <c r="BL10" s="13">
        <f t="shared" si="10"/>
        <v>15926149.41926056</v>
      </c>
      <c r="BM10" s="14">
        <v>80.599418708068214</v>
      </c>
      <c r="BN10" s="14">
        <v>19.400581291931775</v>
      </c>
      <c r="BO10" s="16">
        <v>25.072619207221702</v>
      </c>
      <c r="BP10" s="16">
        <v>10.517117507330672</v>
      </c>
      <c r="BQ10" s="16">
        <v>3.3708881818181813</v>
      </c>
      <c r="BR10" s="16">
        <v>0.3751252727272727</v>
      </c>
      <c r="BS10" s="16">
        <v>0.30055454545454546</v>
      </c>
      <c r="BT10" s="16">
        <v>74.085454545454553</v>
      </c>
      <c r="BU10" s="16">
        <v>26.417272727272724</v>
      </c>
      <c r="BV10" s="16">
        <v>30.055454545454541</v>
      </c>
      <c r="BW10" s="16">
        <f>BT10*5.62</f>
        <v>416.36025454545461</v>
      </c>
      <c r="BX10" s="16">
        <f>BU10*1.47</f>
        <v>38.833390909090902</v>
      </c>
      <c r="BY10" s="16">
        <f>BV10*1.45</f>
        <v>43.580409090909086</v>
      </c>
      <c r="BZ10" s="16">
        <v>7.1999999999999998E-3</v>
      </c>
      <c r="CA10" s="16">
        <f t="shared" si="4"/>
        <v>222.12935999999999</v>
      </c>
      <c r="CB10" s="9">
        <f t="shared" si="5"/>
        <v>1725.8319554304271</v>
      </c>
      <c r="CC10" s="16">
        <f t="shared" si="6"/>
        <v>20.862090688355604</v>
      </c>
      <c r="CD10" s="16">
        <f t="shared" si="7"/>
        <v>67.99276452011739</v>
      </c>
      <c r="CE10" s="17">
        <f t="shared" si="8"/>
        <v>1814.6868106389002</v>
      </c>
      <c r="CF10" s="9">
        <f t="shared" si="9"/>
        <v>999.12616319641393</v>
      </c>
      <c r="CG10" s="18">
        <v>1446684.5454545454</v>
      </c>
      <c r="CH10" s="9">
        <f t="shared" si="11"/>
        <v>57.341229469470051</v>
      </c>
      <c r="CI10" s="9">
        <f t="shared" si="12"/>
        <v>5.1136195716353647</v>
      </c>
      <c r="CJ10" s="5">
        <v>17.634022621984048</v>
      </c>
      <c r="CK10" s="5">
        <v>33.566629609947626</v>
      </c>
      <c r="CL10" s="5">
        <v>45.281505173075921</v>
      </c>
    </row>
    <row r="11" spans="1:90" x14ac:dyDescent="0.25">
      <c r="A11" s="2" t="s">
        <v>168</v>
      </c>
      <c r="B11" s="1" t="s">
        <v>9</v>
      </c>
      <c r="C11" s="1" t="s">
        <v>321</v>
      </c>
      <c r="D11" s="1" t="s">
        <v>335</v>
      </c>
      <c r="E11" s="1" t="s">
        <v>329</v>
      </c>
      <c r="F11" s="21">
        <v>5547.2358670900003</v>
      </c>
      <c r="G11" s="22">
        <v>0.69789867162599994</v>
      </c>
      <c r="H11" s="22">
        <v>1.05437484145E-4</v>
      </c>
      <c r="I11" s="22">
        <v>7708906528.1599998</v>
      </c>
      <c r="J11" s="22">
        <v>1421184.23746</v>
      </c>
      <c r="K11" s="22">
        <f t="shared" si="0"/>
        <v>3.9032489390708784</v>
      </c>
      <c r="L11" s="22">
        <f t="shared" si="1"/>
        <v>4.9106840142929933</v>
      </c>
      <c r="M11" s="22">
        <f t="shared" si="2"/>
        <v>5.4242837240706248</v>
      </c>
      <c r="N11" s="21">
        <v>1121.17706013</v>
      </c>
      <c r="O11" s="21">
        <v>4426.0588151299999</v>
      </c>
      <c r="P11" s="22">
        <v>0.14211887017700001</v>
      </c>
      <c r="Q11" s="22">
        <v>0.55577980115100001</v>
      </c>
      <c r="R11" s="23">
        <v>912.34028811899998</v>
      </c>
      <c r="S11" s="23">
        <v>208.83677488199999</v>
      </c>
      <c r="T11" s="23">
        <v>0</v>
      </c>
      <c r="U11" s="23">
        <v>3627.55446609</v>
      </c>
      <c r="V11" s="23">
        <v>798.50434421399996</v>
      </c>
      <c r="W11" s="23">
        <v>0</v>
      </c>
      <c r="X11" s="22">
        <v>8.1150134274400001E-2</v>
      </c>
      <c r="Y11" s="22">
        <v>6.0968736337499996E-2</v>
      </c>
      <c r="Z11" s="22">
        <v>0</v>
      </c>
      <c r="AA11" s="22">
        <v>0.322660893698</v>
      </c>
      <c r="AB11" s="22">
        <v>0.23311890695199999</v>
      </c>
      <c r="AC11" s="22">
        <v>0</v>
      </c>
      <c r="AD11" s="21">
        <v>0</v>
      </c>
      <c r="AE11" s="21">
        <v>498.60452401700002</v>
      </c>
      <c r="AF11" s="21">
        <v>413.73576226099999</v>
      </c>
      <c r="AG11" s="21">
        <v>0</v>
      </c>
      <c r="AH11" s="21">
        <v>3627.55447026</v>
      </c>
      <c r="AI11" s="21">
        <v>0</v>
      </c>
      <c r="AJ11" s="21">
        <v>0</v>
      </c>
      <c r="AK11" s="21">
        <v>113.80573819599999</v>
      </c>
      <c r="AL11" s="21">
        <v>95.031035685299997</v>
      </c>
      <c r="AM11" s="21">
        <v>0</v>
      </c>
      <c r="AN11" s="21">
        <v>798.50434251900003</v>
      </c>
      <c r="AO11" s="21">
        <v>0</v>
      </c>
      <c r="AP11" s="22">
        <v>0</v>
      </c>
      <c r="AQ11" s="22">
        <v>3.3224953127200002E-2</v>
      </c>
      <c r="AR11" s="22">
        <v>2.7743782890200002E-2</v>
      </c>
      <c r="AS11" s="22">
        <v>0</v>
      </c>
      <c r="AT11" s="22">
        <v>4.4349487485400005E-2</v>
      </c>
      <c r="AU11" s="22">
        <v>3.6800646832000003E-2</v>
      </c>
      <c r="AV11" s="22">
        <v>0</v>
      </c>
      <c r="AW11" s="22">
        <v>0.32266089387300001</v>
      </c>
      <c r="AX11" s="22">
        <v>0</v>
      </c>
      <c r="AY11" s="22">
        <v>0</v>
      </c>
      <c r="AZ11" s="22">
        <v>0.23311890710200001</v>
      </c>
      <c r="BA11" s="22">
        <v>0</v>
      </c>
      <c r="BB11" s="7">
        <v>676.67044012199995</v>
      </c>
      <c r="BC11" s="1">
        <v>3.7404838100399997E-2</v>
      </c>
      <c r="BD11" s="9">
        <v>0.57399999999999995</v>
      </c>
      <c r="BE11" s="9">
        <v>0.42599999999999999</v>
      </c>
      <c r="BF11" s="10">
        <v>0</v>
      </c>
      <c r="BG11" s="11">
        <v>-17.498092841199998</v>
      </c>
      <c r="BH11" s="15">
        <v>1051</v>
      </c>
      <c r="BI11" s="20">
        <v>1</v>
      </c>
      <c r="BJ11" s="15">
        <v>1051</v>
      </c>
      <c r="BK11" s="13">
        <f t="shared" si="13"/>
        <v>556934236.60852754</v>
      </c>
      <c r="BL11" s="13">
        <f t="shared" si="10"/>
        <v>7151972291.5514727</v>
      </c>
      <c r="BM11" s="14">
        <v>7.2245555783312803</v>
      </c>
      <c r="BN11" s="14">
        <v>92.775444421668723</v>
      </c>
      <c r="BO11" s="16">
        <v>1.7735168571992233</v>
      </c>
      <c r="BP11" s="16">
        <v>0.65093915418081383</v>
      </c>
      <c r="BQ11" s="16">
        <v>0.35146681818181819</v>
      </c>
      <c r="BR11" s="16">
        <v>1.4909999999999998E-2</v>
      </c>
      <c r="BS11" s="16">
        <v>1.1781818181818183E-2</v>
      </c>
      <c r="BT11" s="16">
        <v>7.7245454545454546</v>
      </c>
      <c r="BU11" s="16">
        <v>1.0499999999999998</v>
      </c>
      <c r="BV11" s="16">
        <v>1.1781818181818182</v>
      </c>
      <c r="BW11" s="16">
        <f>BT11*4</f>
        <v>30.898181818181818</v>
      </c>
      <c r="BX11" s="16">
        <f>BU11*1.29</f>
        <v>1.3544999999999998</v>
      </c>
      <c r="BY11" s="16">
        <f>BV11*1.47</f>
        <v>1.7319272727272728</v>
      </c>
      <c r="BZ11" s="16">
        <v>2.66E-3</v>
      </c>
      <c r="CA11" s="16">
        <f t="shared" si="4"/>
        <v>8.5564789999999995</v>
      </c>
      <c r="CB11" s="9">
        <f t="shared" si="5"/>
        <v>122.07707700387986</v>
      </c>
      <c r="CC11" s="16">
        <f t="shared" si="6"/>
        <v>1.4756842596469006</v>
      </c>
      <c r="CD11" s="16">
        <f t="shared" si="7"/>
        <v>4.8094821305814275</v>
      </c>
      <c r="CE11" s="17">
        <f t="shared" si="8"/>
        <v>128.36224339410819</v>
      </c>
      <c r="CF11" s="9">
        <f t="shared" si="9"/>
        <v>61.839219647177316</v>
      </c>
      <c r="CG11" s="18">
        <v>2074745.4545454544</v>
      </c>
      <c r="CH11" s="9">
        <f t="shared" si="11"/>
        <v>5.8147120012486972</v>
      </c>
      <c r="CI11" s="9">
        <f t="shared" si="12"/>
        <v>0.48288155004083377</v>
      </c>
      <c r="CJ11" s="5">
        <v>18.863322561565969</v>
      </c>
      <c r="CK11" s="5">
        <v>20.056213205917857</v>
      </c>
      <c r="CL11" s="5">
        <v>35.136267576816152</v>
      </c>
    </row>
    <row r="12" spans="1:90" x14ac:dyDescent="0.25">
      <c r="A12" s="2" t="s">
        <v>169</v>
      </c>
      <c r="B12" s="1" t="s">
        <v>10</v>
      </c>
      <c r="C12" s="1" t="s">
        <v>327</v>
      </c>
      <c r="D12" s="1" t="s">
        <v>345</v>
      </c>
      <c r="E12" s="1" t="s">
        <v>331</v>
      </c>
      <c r="F12" s="21">
        <v>6.1570024087300002E-2</v>
      </c>
      <c r="G12" s="22">
        <v>4.99310433479E-6</v>
      </c>
      <c r="H12" s="22">
        <v>0</v>
      </c>
      <c r="I12" s="22">
        <v>87393454.573300004</v>
      </c>
      <c r="J12" s="22">
        <v>20486.311585899999</v>
      </c>
      <c r="K12" s="22">
        <f t="shared" si="0"/>
        <v>3.0054226125153963E-3</v>
      </c>
      <c r="L12" s="22">
        <f t="shared" si="1"/>
        <v>2.4372880954454373E-3</v>
      </c>
      <c r="M12" s="22">
        <f t="shared" si="2"/>
        <v>4.2659438331226891</v>
      </c>
      <c r="N12" s="21">
        <v>6.1570024087300002E-2</v>
      </c>
      <c r="O12" s="21">
        <v>0</v>
      </c>
      <c r="P12" s="22">
        <v>4.99310433479E-6</v>
      </c>
      <c r="Q12" s="22">
        <v>0</v>
      </c>
      <c r="R12" s="23">
        <v>5.6135583907599998E-2</v>
      </c>
      <c r="S12" s="23">
        <v>5.4344398352100002E-3</v>
      </c>
      <c r="T12" s="23">
        <v>0</v>
      </c>
      <c r="U12" s="23">
        <v>0</v>
      </c>
      <c r="V12" s="23">
        <v>0</v>
      </c>
      <c r="W12" s="23">
        <v>0</v>
      </c>
      <c r="X12" s="22">
        <v>4.99310433479E-6</v>
      </c>
      <c r="Y12" s="22">
        <v>0</v>
      </c>
      <c r="Z12" s="22">
        <v>0</v>
      </c>
      <c r="AA12" s="22">
        <v>0</v>
      </c>
      <c r="AB12" s="22">
        <v>0</v>
      </c>
      <c r="AC12" s="22">
        <v>0</v>
      </c>
      <c r="AD12" s="21">
        <v>0</v>
      </c>
      <c r="AE12" s="21">
        <v>0</v>
      </c>
      <c r="AF12" s="21">
        <v>5.6135584268199999E-2</v>
      </c>
      <c r="AG12" s="21">
        <v>0</v>
      </c>
      <c r="AH12" s="21">
        <v>0</v>
      </c>
      <c r="AI12" s="21">
        <v>0</v>
      </c>
      <c r="AJ12" s="21">
        <v>0</v>
      </c>
      <c r="AK12" s="21">
        <v>0</v>
      </c>
      <c r="AL12" s="21">
        <v>5.4344398781999998E-3</v>
      </c>
      <c r="AM12" s="21">
        <v>0</v>
      </c>
      <c r="AN12" s="21">
        <v>0</v>
      </c>
      <c r="AO12" s="21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4.9931042973899997E-6</v>
      </c>
      <c r="AV12" s="22">
        <v>0</v>
      </c>
      <c r="AW12" s="22">
        <v>0</v>
      </c>
      <c r="AX12" s="22">
        <v>0</v>
      </c>
      <c r="AY12" s="22">
        <v>0</v>
      </c>
      <c r="AZ12" s="22">
        <v>0</v>
      </c>
      <c r="BA12" s="22">
        <v>0</v>
      </c>
      <c r="BB12" s="7">
        <v>1.9586555644800001</v>
      </c>
      <c r="BC12" s="1">
        <v>6.63766600699E-5</v>
      </c>
      <c r="BD12" s="9">
        <v>1</v>
      </c>
      <c r="BE12" s="9">
        <v>0</v>
      </c>
      <c r="BF12" s="10">
        <v>0</v>
      </c>
      <c r="BG12" s="11">
        <v>-31.9924123238</v>
      </c>
      <c r="BH12" s="12">
        <v>0</v>
      </c>
      <c r="BI12" s="20">
        <v>1</v>
      </c>
      <c r="BJ12" s="15">
        <v>0</v>
      </c>
      <c r="BK12" s="13">
        <f t="shared" si="13"/>
        <v>23332.879103732979</v>
      </c>
      <c r="BL12" s="13">
        <f t="shared" si="10"/>
        <v>87370121.694196284</v>
      </c>
      <c r="BM12" s="14">
        <v>2.6698657488316662E-2</v>
      </c>
      <c r="BN12" s="14">
        <v>99.973301342511689</v>
      </c>
      <c r="BO12" s="16">
        <v>1.1653058692145427E-2</v>
      </c>
      <c r="BP12" s="16">
        <v>4.2770567067874424E-3</v>
      </c>
      <c r="BQ12" s="16">
        <v>3.5779545454545467E-2</v>
      </c>
      <c r="BR12" s="16">
        <v>8.9976363636363622E-3</v>
      </c>
      <c r="BS12" s="16">
        <v>2.7727272727272722E-3</v>
      </c>
      <c r="BT12" s="16">
        <v>0.78636363636363638</v>
      </c>
      <c r="BU12" s="16">
        <v>0.63363636363636366</v>
      </c>
      <c r="BV12" s="16">
        <v>0.27727272727272728</v>
      </c>
      <c r="BW12" s="16">
        <f>BT12*5.66</f>
        <v>4.4508181818181818</v>
      </c>
      <c r="BX12" s="16">
        <f>BU12*1.36</f>
        <v>0.86174545454545459</v>
      </c>
      <c r="BY12" s="16">
        <f>BV12*1.36</f>
        <v>0.37709090909090914</v>
      </c>
      <c r="BZ12" s="16">
        <v>2.96E-3</v>
      </c>
      <c r="CA12" s="16">
        <f t="shared" si="4"/>
        <v>0.96929428571428577</v>
      </c>
      <c r="CB12" s="9">
        <f t="shared" si="5"/>
        <v>0.80211887330934351</v>
      </c>
      <c r="CC12" s="16">
        <f t="shared" si="6"/>
        <v>9.6961217024444726E-3</v>
      </c>
      <c r="CD12" s="16">
        <f t="shared" si="7"/>
        <v>3.1601152996649708E-2</v>
      </c>
      <c r="CE12" s="17">
        <f t="shared" si="8"/>
        <v>0.84341614800843767</v>
      </c>
      <c r="CF12" s="9">
        <f t="shared" si="9"/>
        <v>0.406320387144807</v>
      </c>
      <c r="CG12" s="18">
        <v>1343909.0909090911</v>
      </c>
      <c r="CH12" s="9">
        <f t="shared" si="11"/>
        <v>8.5311382003030359E-2</v>
      </c>
      <c r="CI12" s="9">
        <f t="shared" si="12"/>
        <v>1.0628554160939933E-2</v>
      </c>
      <c r="CJ12" s="5">
        <v>0</v>
      </c>
      <c r="CK12" s="5">
        <v>0</v>
      </c>
      <c r="CL12" s="5">
        <v>0</v>
      </c>
    </row>
    <row r="13" spans="1:90" x14ac:dyDescent="0.25">
      <c r="A13" s="2" t="s">
        <v>170</v>
      </c>
      <c r="B13" s="1" t="s">
        <v>11</v>
      </c>
      <c r="C13" s="1" t="s">
        <v>324</v>
      </c>
      <c r="D13" s="1" t="s">
        <v>326</v>
      </c>
      <c r="E13" s="1" t="s">
        <v>326</v>
      </c>
      <c r="F13" s="21">
        <v>31.876158133400001</v>
      </c>
      <c r="G13" s="22">
        <v>2.50379791852E-3</v>
      </c>
      <c r="H13" s="22">
        <v>5.3194873035E-8</v>
      </c>
      <c r="I13" s="22">
        <v>30662077.1961</v>
      </c>
      <c r="J13" s="22">
        <v>26942.281019900001</v>
      </c>
      <c r="K13" s="22">
        <f t="shared" si="0"/>
        <v>1.1831276687321226</v>
      </c>
      <c r="L13" s="22">
        <f t="shared" si="1"/>
        <v>0.9293192052561009</v>
      </c>
      <c r="M13" s="22">
        <f t="shared" si="2"/>
        <v>1.13806537662689</v>
      </c>
      <c r="N13" s="21">
        <v>20.7257318252</v>
      </c>
      <c r="O13" s="21">
        <v>11.1504263679</v>
      </c>
      <c r="P13" s="22">
        <v>1.6280742494399999E-3</v>
      </c>
      <c r="Q13" s="22">
        <v>8.7572368053399994E-4</v>
      </c>
      <c r="R13" s="23">
        <v>5.2591195203099996</v>
      </c>
      <c r="S13" s="23">
        <v>15.466612256599999</v>
      </c>
      <c r="T13" s="23">
        <v>0</v>
      </c>
      <c r="U13" s="23">
        <v>2.8165566062499998</v>
      </c>
      <c r="V13" s="23">
        <v>8.3338697567200004</v>
      </c>
      <c r="W13" s="23">
        <v>0</v>
      </c>
      <c r="X13" s="22">
        <v>4.6778406989200002E-4</v>
      </c>
      <c r="Y13" s="22">
        <v>1.1602901849800001E-3</v>
      </c>
      <c r="Z13" s="22">
        <v>0</v>
      </c>
      <c r="AA13" s="22">
        <v>2.50524884933E-4</v>
      </c>
      <c r="AB13" s="22">
        <v>6.2519879070699997E-4</v>
      </c>
      <c r="AC13" s="22">
        <v>0</v>
      </c>
      <c r="AD13" s="21">
        <v>0</v>
      </c>
      <c r="AE13" s="21">
        <v>5.2591195101199997</v>
      </c>
      <c r="AF13" s="21">
        <v>0</v>
      </c>
      <c r="AG13" s="21">
        <v>0</v>
      </c>
      <c r="AH13" s="21">
        <v>2.81655659811</v>
      </c>
      <c r="AI13" s="21">
        <v>0</v>
      </c>
      <c r="AJ13" s="21">
        <v>0</v>
      </c>
      <c r="AK13" s="21">
        <v>15.4666122879</v>
      </c>
      <c r="AL13" s="21">
        <v>0</v>
      </c>
      <c r="AM13" s="21">
        <v>0</v>
      </c>
      <c r="AN13" s="21">
        <v>8.3338697582899997</v>
      </c>
      <c r="AO13" s="21">
        <v>0</v>
      </c>
      <c r="AP13" s="22">
        <v>0</v>
      </c>
      <c r="AQ13" s="22">
        <v>1.1602901829200001E-3</v>
      </c>
      <c r="AR13" s="22">
        <v>0</v>
      </c>
      <c r="AS13" s="22">
        <v>0</v>
      </c>
      <c r="AT13" s="22">
        <v>4.6778406958399997E-4</v>
      </c>
      <c r="AU13" s="22">
        <v>0</v>
      </c>
      <c r="AV13" s="22">
        <v>0</v>
      </c>
      <c r="AW13" s="22">
        <v>2.5052488543699999E-4</v>
      </c>
      <c r="AX13" s="22">
        <v>0</v>
      </c>
      <c r="AY13" s="22">
        <v>0</v>
      </c>
      <c r="AZ13" s="22">
        <v>6.2519879103199998E-4</v>
      </c>
      <c r="BA13" s="22">
        <v>0</v>
      </c>
      <c r="BB13" s="7">
        <v>222.923190027</v>
      </c>
      <c r="BC13" s="1">
        <v>3.5296171665200001E-3</v>
      </c>
      <c r="BD13" s="9">
        <v>0</v>
      </c>
      <c r="BE13" s="9">
        <v>1</v>
      </c>
      <c r="BF13" s="10">
        <v>0</v>
      </c>
      <c r="BG13" s="11">
        <v>-10.3131185234</v>
      </c>
      <c r="BH13" s="15">
        <v>259.77777777777777</v>
      </c>
      <c r="BI13" s="20">
        <v>1.0396135265700484</v>
      </c>
      <c r="BJ13" s="15">
        <v>270.06849168008591</v>
      </c>
      <c r="BK13" s="13">
        <f t="shared" si="13"/>
        <v>17363182.134628318</v>
      </c>
      <c r="BL13" s="13">
        <f t="shared" si="10"/>
        <v>13298895.061471684</v>
      </c>
      <c r="BM13" s="14">
        <v>56.627546867036102</v>
      </c>
      <c r="BN13" s="14">
        <v>43.372453132963898</v>
      </c>
      <c r="BO13" s="16">
        <v>12.617927792784101</v>
      </c>
      <c r="BP13" s="16">
        <v>5.2927948292494689</v>
      </c>
      <c r="BQ13" s="16">
        <v>7.9481422222222244</v>
      </c>
      <c r="BR13" s="16">
        <v>0.63404577777777782</v>
      </c>
      <c r="BS13" s="16">
        <v>0.87101111111111118</v>
      </c>
      <c r="BT13" s="16">
        <v>174.68444444444447</v>
      </c>
      <c r="BU13" s="16">
        <v>44.651111111111106</v>
      </c>
      <c r="BV13" s="16">
        <v>87.101111111111123</v>
      </c>
      <c r="BW13" s="16">
        <f>BT13*5.62</f>
        <v>981.72657777777795</v>
      </c>
      <c r="BX13" s="16">
        <f>BU13*1.47</f>
        <v>65.637133333333324</v>
      </c>
      <c r="BY13" s="16">
        <f>BV13*1.45</f>
        <v>126.29661111111112</v>
      </c>
      <c r="BZ13" s="16">
        <v>7.1999999999999998E-3</v>
      </c>
      <c r="CA13" s="16">
        <f t="shared" si="4"/>
        <v>523.75387428571435</v>
      </c>
      <c r="CB13" s="9">
        <f t="shared" si="5"/>
        <v>868.5340297366389</v>
      </c>
      <c r="CC13" s="16">
        <f t="shared" si="6"/>
        <v>10.49895711878256</v>
      </c>
      <c r="CD13" s="16">
        <f t="shared" si="7"/>
        <v>34.217717186065016</v>
      </c>
      <c r="CE13" s="17">
        <f t="shared" si="8"/>
        <v>913.25070404148642</v>
      </c>
      <c r="CF13" s="9">
        <f t="shared" si="9"/>
        <v>502.81550877869955</v>
      </c>
      <c r="CG13" s="18">
        <v>862590.90909090918</v>
      </c>
      <c r="CH13" s="9">
        <f t="shared" si="11"/>
        <v>23.603870124085763</v>
      </c>
      <c r="CI13" s="9">
        <f t="shared" si="12"/>
        <v>2.6856598967190815</v>
      </c>
      <c r="CJ13" s="5">
        <v>32.109948333691044</v>
      </c>
      <c r="CK13" s="5">
        <v>26.096158210240226</v>
      </c>
      <c r="CL13" s="5">
        <v>49.826643625544861</v>
      </c>
    </row>
    <row r="14" spans="1:90" x14ac:dyDescent="0.25">
      <c r="A14" s="2" t="s">
        <v>171</v>
      </c>
      <c r="B14" s="1" t="s">
        <v>12</v>
      </c>
      <c r="C14" s="1" t="s">
        <v>327</v>
      </c>
      <c r="D14" s="1" t="s">
        <v>340</v>
      </c>
      <c r="E14" s="1" t="s">
        <v>331</v>
      </c>
      <c r="F14" s="21">
        <v>47.572505954</v>
      </c>
      <c r="G14" s="22">
        <v>4.64894019753E-3</v>
      </c>
      <c r="H14" s="22">
        <v>0</v>
      </c>
      <c r="I14" s="22">
        <v>53011055.677900001</v>
      </c>
      <c r="J14" s="22">
        <v>12570.4326354</v>
      </c>
      <c r="K14" s="22">
        <f t="shared" si="0"/>
        <v>3.7844764244652591</v>
      </c>
      <c r="L14" s="22">
        <f t="shared" si="1"/>
        <v>3.6983136001524479</v>
      </c>
      <c r="M14" s="22">
        <f t="shared" si="2"/>
        <v>4.2171226094966574</v>
      </c>
      <c r="N14" s="21">
        <v>16.232027517700001</v>
      </c>
      <c r="O14" s="21">
        <v>31.340478073</v>
      </c>
      <c r="P14" s="22">
        <v>1.5874591870399999E-3</v>
      </c>
      <c r="Q14" s="22">
        <v>3.0614810343499999E-3</v>
      </c>
      <c r="R14" s="23">
        <v>13.933357186</v>
      </c>
      <c r="S14" s="23">
        <v>2.2986701901500002</v>
      </c>
      <c r="T14" s="23">
        <v>0</v>
      </c>
      <c r="U14" s="23">
        <v>26.959112450100001</v>
      </c>
      <c r="V14" s="23">
        <v>4.3813655234400004</v>
      </c>
      <c r="W14" s="23">
        <v>0</v>
      </c>
      <c r="X14" s="22">
        <v>1.2393334197900001E-3</v>
      </c>
      <c r="Y14" s="22">
        <v>3.4812575879799998E-4</v>
      </c>
      <c r="Z14" s="22">
        <v>0</v>
      </c>
      <c r="AA14" s="22">
        <v>2.3979381675999999E-3</v>
      </c>
      <c r="AB14" s="22">
        <v>6.6354286144100006E-4</v>
      </c>
      <c r="AC14" s="22">
        <v>0</v>
      </c>
      <c r="AD14" s="21">
        <v>1.48920780259</v>
      </c>
      <c r="AE14" s="21">
        <v>7.6380306604300001</v>
      </c>
      <c r="AF14" s="21">
        <v>4.8061188274299997</v>
      </c>
      <c r="AG14" s="21">
        <v>3.2379590196399999</v>
      </c>
      <c r="AH14" s="21">
        <v>23.721153458299998</v>
      </c>
      <c r="AI14" s="21">
        <v>0</v>
      </c>
      <c r="AJ14" s="21">
        <v>0.24545839256499999</v>
      </c>
      <c r="AK14" s="21">
        <v>1.2613258127900002</v>
      </c>
      <c r="AL14" s="21">
        <v>0.79188599352599998</v>
      </c>
      <c r="AM14" s="21">
        <v>0.52622956670800003</v>
      </c>
      <c r="AN14" s="21">
        <v>3.8551359658400002</v>
      </c>
      <c r="AO14" s="21">
        <v>0</v>
      </c>
      <c r="AP14" s="22">
        <v>3.7173835914199999E-5</v>
      </c>
      <c r="AQ14" s="22">
        <v>1.9102349083600001E-4</v>
      </c>
      <c r="AR14" s="22">
        <v>1.1992843164300001E-4</v>
      </c>
      <c r="AS14" s="22">
        <v>1.3246089751000001E-4</v>
      </c>
      <c r="AT14" s="22">
        <v>6.7938160788600006E-4</v>
      </c>
      <c r="AU14" s="22">
        <v>4.2749091959500002E-4</v>
      </c>
      <c r="AV14" s="22">
        <v>2.88007460878E-4</v>
      </c>
      <c r="AW14" s="22">
        <v>2.1099307034100003E-3</v>
      </c>
      <c r="AX14" s="22">
        <v>0</v>
      </c>
      <c r="AY14" s="22">
        <v>7.9695672098399994E-5</v>
      </c>
      <c r="AZ14" s="22">
        <v>5.8384718727699997E-4</v>
      </c>
      <c r="BA14" s="22">
        <v>0</v>
      </c>
      <c r="BB14" s="7">
        <v>2676.02590203</v>
      </c>
      <c r="BC14" s="1">
        <v>9.0687544398299999E-2</v>
      </c>
      <c r="BD14" s="9">
        <v>0.46</v>
      </c>
      <c r="BE14" s="9">
        <v>0.41599999999999998</v>
      </c>
      <c r="BF14" s="10">
        <v>0.124</v>
      </c>
      <c r="BG14" s="11">
        <v>-17.531674302599999</v>
      </c>
      <c r="BH14" s="15">
        <v>697.77777777777783</v>
      </c>
      <c r="BI14" s="20">
        <v>0.78134863701578194</v>
      </c>
      <c r="BJ14" s="15">
        <v>545.20771560656783</v>
      </c>
      <c r="BK14" s="13">
        <f t="shared" si="13"/>
        <v>7375872.9094941542</v>
      </c>
      <c r="BL14" s="13">
        <f t="shared" si="10"/>
        <v>45635182.76840584</v>
      </c>
      <c r="BM14" s="14">
        <v>13.913838943918849</v>
      </c>
      <c r="BN14" s="14">
        <v>86.086161056081139</v>
      </c>
      <c r="BO14" s="16">
        <v>5.9617541167443777E-3</v>
      </c>
      <c r="BP14" s="16">
        <v>2.1881603021896949E-3</v>
      </c>
      <c r="BQ14" s="16">
        <v>0.10787636363636365</v>
      </c>
      <c r="BR14" s="16">
        <v>2.109345454545454E-2</v>
      </c>
      <c r="BS14" s="16">
        <v>1.0454545454545454E-2</v>
      </c>
      <c r="BT14" s="16">
        <v>2.3709090909090906</v>
      </c>
      <c r="BU14" s="16">
        <v>1.4854545454545454</v>
      </c>
      <c r="BV14" s="16">
        <v>1.0454545454545454</v>
      </c>
      <c r="BW14" s="16">
        <f>BT14*5.66</f>
        <v>13.419345454545454</v>
      </c>
      <c r="BX14" s="16">
        <f>BU14*1.36</f>
        <v>2.0202181818181817</v>
      </c>
      <c r="BY14" s="16">
        <f>BV14*1.36</f>
        <v>1.4218181818181819</v>
      </c>
      <c r="BZ14" s="16">
        <v>2.96E-3</v>
      </c>
      <c r="CA14" s="16">
        <f t="shared" si="4"/>
        <v>2.9224502857142851</v>
      </c>
      <c r="CB14" s="9">
        <f t="shared" si="5"/>
        <v>0.41036740836923796</v>
      </c>
      <c r="CC14" s="16">
        <f t="shared" si="6"/>
        <v>4.9605768754057726E-3</v>
      </c>
      <c r="CD14" s="16">
        <f t="shared" si="7"/>
        <v>1.6167283538924628E-2</v>
      </c>
      <c r="CE14" s="17">
        <f t="shared" si="8"/>
        <v>0.43149526878356836</v>
      </c>
      <c r="CF14" s="9">
        <f t="shared" si="9"/>
        <v>0.20787522870802103</v>
      </c>
      <c r="CG14" s="18">
        <v>2884818.1818181821</v>
      </c>
      <c r="CH14" s="9">
        <f t="shared" si="11"/>
        <v>0.42572496050261488</v>
      </c>
      <c r="CI14" s="9">
        <f t="shared" si="12"/>
        <v>5.8917226195439612E-2</v>
      </c>
      <c r="CJ14" s="5">
        <v>68.021678311591756</v>
      </c>
      <c r="CK14" s="5">
        <v>0</v>
      </c>
      <c r="CL14" s="5">
        <v>68.021678311591756</v>
      </c>
    </row>
    <row r="15" spans="1:90" x14ac:dyDescent="0.25">
      <c r="A15" s="2" t="s">
        <v>172</v>
      </c>
      <c r="B15" s="1" t="s">
        <v>13</v>
      </c>
      <c r="C15" s="1" t="s">
        <v>327</v>
      </c>
      <c r="D15" s="1" t="s">
        <v>340</v>
      </c>
      <c r="E15" s="1" t="s">
        <v>331</v>
      </c>
      <c r="F15" s="21">
        <v>155.05608112100001</v>
      </c>
      <c r="G15" s="22">
        <v>1.5109790937E-2</v>
      </c>
      <c r="H15" s="22">
        <v>9.4267934560800007E-8</v>
      </c>
      <c r="I15" s="22">
        <v>414767373.71200001</v>
      </c>
      <c r="J15" s="22">
        <v>24982.516982199999</v>
      </c>
      <c r="K15" s="22">
        <f t="shared" si="0"/>
        <v>6.2065836373283449</v>
      </c>
      <c r="L15" s="22">
        <f t="shared" si="1"/>
        <v>6.0481459685450032</v>
      </c>
      <c r="M15" s="22">
        <f t="shared" si="2"/>
        <v>16.602305284432351</v>
      </c>
      <c r="N15" s="21">
        <v>76.891890434700002</v>
      </c>
      <c r="O15" s="21">
        <v>78.164189914999994</v>
      </c>
      <c r="P15" s="22">
        <v>7.4913952080400007E-3</v>
      </c>
      <c r="Q15" s="22">
        <v>7.6183957577600006E-3</v>
      </c>
      <c r="R15" s="23">
        <v>66.964168560299996</v>
      </c>
      <c r="S15" s="23">
        <v>9.9277221240200006</v>
      </c>
      <c r="T15" s="23">
        <v>0</v>
      </c>
      <c r="U15" s="23">
        <v>68.025861829600004</v>
      </c>
      <c r="V15" s="23">
        <v>10.138328209100001</v>
      </c>
      <c r="W15" s="23">
        <v>0</v>
      </c>
      <c r="X15" s="22">
        <v>5.9562767853600001E-3</v>
      </c>
      <c r="Y15" s="22">
        <v>1.5351183996899999E-3</v>
      </c>
      <c r="Z15" s="22">
        <v>0</v>
      </c>
      <c r="AA15" s="22">
        <v>6.0507114469700004E-3</v>
      </c>
      <c r="AB15" s="22">
        <v>1.56768431171E-3</v>
      </c>
      <c r="AC15" s="22">
        <v>0</v>
      </c>
      <c r="AD15" s="21">
        <v>1.06398207586</v>
      </c>
      <c r="AE15" s="21">
        <v>14.131209139900001</v>
      </c>
      <c r="AF15" s="21">
        <v>51.768977335500004</v>
      </c>
      <c r="AG15" s="21">
        <v>3.3892657960700001</v>
      </c>
      <c r="AH15" s="21">
        <v>64.6365959229</v>
      </c>
      <c r="AI15" s="21">
        <v>0</v>
      </c>
      <c r="AJ15" s="21">
        <v>0.15748114834799998</v>
      </c>
      <c r="AK15" s="21">
        <v>2.0971829736199998</v>
      </c>
      <c r="AL15" s="21">
        <v>7.6730580066600007</v>
      </c>
      <c r="AM15" s="21">
        <v>0.50512390559200004</v>
      </c>
      <c r="AN15" s="21">
        <v>9.6332042893600001</v>
      </c>
      <c r="AO15" s="21">
        <v>0</v>
      </c>
      <c r="AP15" s="22">
        <v>2.43512265104E-5</v>
      </c>
      <c r="AQ15" s="22">
        <v>3.2428629183499998E-4</v>
      </c>
      <c r="AR15" s="22">
        <v>1.1864808894200001E-3</v>
      </c>
      <c r="AS15" s="22">
        <v>9.4638250154599994E-5</v>
      </c>
      <c r="AT15" s="22">
        <v>1.2569317996800001E-3</v>
      </c>
      <c r="AU15" s="22">
        <v>4.6047067302399996E-3</v>
      </c>
      <c r="AV15" s="22">
        <v>3.01465777841E-4</v>
      </c>
      <c r="AW15" s="22">
        <v>5.7492456653599998E-3</v>
      </c>
      <c r="AX15" s="22">
        <v>0</v>
      </c>
      <c r="AY15" s="22">
        <v>7.81070416227E-5</v>
      </c>
      <c r="AZ15" s="22">
        <v>1.4895772694000001E-3</v>
      </c>
      <c r="BA15" s="22">
        <v>0</v>
      </c>
      <c r="BB15" s="7">
        <v>390.934121855</v>
      </c>
      <c r="BC15" s="1">
        <v>1.32483230045E-2</v>
      </c>
      <c r="BD15" s="9">
        <v>0.85399999999999998</v>
      </c>
      <c r="BE15" s="9">
        <v>0.13100000000000001</v>
      </c>
      <c r="BF15" s="10">
        <v>1.4999999999999999E-2</v>
      </c>
      <c r="BG15" s="11">
        <v>-19.698105136399999</v>
      </c>
      <c r="BH15" s="12">
        <v>556.66609089999997</v>
      </c>
      <c r="BI15" s="20">
        <v>1</v>
      </c>
      <c r="BJ15" s="15">
        <v>556.66609089999997</v>
      </c>
      <c r="BK15" s="13">
        <f t="shared" si="13"/>
        <v>49772062.422099151</v>
      </c>
      <c r="BL15" s="13">
        <f t="shared" si="10"/>
        <v>364995311.2899009</v>
      </c>
      <c r="BM15" s="14">
        <v>11.999994593754893</v>
      </c>
      <c r="BN15" s="14">
        <v>88.000005406245123</v>
      </c>
      <c r="BO15" s="16">
        <v>3.9062858166189117E-2</v>
      </c>
      <c r="BP15" s="16">
        <v>1.4337356733524357E-2</v>
      </c>
      <c r="BQ15" s="16">
        <v>0.20367454545454547</v>
      </c>
      <c r="BR15" s="16">
        <v>3.3963818181818185E-2</v>
      </c>
      <c r="BS15" s="16">
        <v>2.056363636363636E-2</v>
      </c>
      <c r="BT15" s="16">
        <v>4.4763636363636357</v>
      </c>
      <c r="BU15" s="16">
        <v>2.3918181818181821</v>
      </c>
      <c r="BV15" s="16">
        <v>2.0563636363636366</v>
      </c>
      <c r="BW15" s="16">
        <f>BT15*5.66</f>
        <v>25.336218181818179</v>
      </c>
      <c r="BX15" s="16">
        <f>BU15*1.36</f>
        <v>3.2528727272727278</v>
      </c>
      <c r="BY15" s="16">
        <f>BV15*1.36</f>
        <v>2.7966545454545462</v>
      </c>
      <c r="BZ15" s="16">
        <v>2.96E-3</v>
      </c>
      <c r="CA15" s="16">
        <f t="shared" si="4"/>
        <v>5.5176937142857136</v>
      </c>
      <c r="CB15" s="9">
        <f t="shared" si="5"/>
        <v>2.6888267371060173</v>
      </c>
      <c r="CC15" s="16">
        <f t="shared" si="6"/>
        <v>3.2502902184813762E-2</v>
      </c>
      <c r="CD15" s="16">
        <f t="shared" si="7"/>
        <v>0.10593196087034386</v>
      </c>
      <c r="CE15" s="17">
        <f t="shared" si="8"/>
        <v>2.8272616001611746</v>
      </c>
      <c r="CF15" s="9">
        <f t="shared" si="9"/>
        <v>1.362048889684814</v>
      </c>
      <c r="CG15" s="18">
        <v>5078227.2727272734</v>
      </c>
      <c r="CH15" s="9">
        <f t="shared" si="11"/>
        <v>1.5823868659459497</v>
      </c>
      <c r="CI15" s="9">
        <f t="shared" si="12"/>
        <v>0.2086783220280487</v>
      </c>
      <c r="CJ15" s="5">
        <v>60.618543613296595</v>
      </c>
      <c r="CK15" s="5">
        <v>2.9608347423686445</v>
      </c>
      <c r="CL15" s="5">
        <v>61.784563456044864</v>
      </c>
    </row>
    <row r="16" spans="1:90" x14ac:dyDescent="0.25">
      <c r="A16" s="2" t="s">
        <v>173</v>
      </c>
      <c r="B16" s="1" t="s">
        <v>14</v>
      </c>
      <c r="C16" s="1" t="s">
        <v>321</v>
      </c>
      <c r="D16" s="1" t="s">
        <v>322</v>
      </c>
      <c r="E16" s="1" t="s">
        <v>323</v>
      </c>
      <c r="F16" s="21">
        <v>44268.316733899999</v>
      </c>
      <c r="G16" s="22">
        <v>4.21639448111</v>
      </c>
      <c r="H16" s="22">
        <v>0.13281972853099999</v>
      </c>
      <c r="I16" s="22">
        <v>24196466573.799999</v>
      </c>
      <c r="J16" s="22">
        <v>5004996.92906</v>
      </c>
      <c r="K16" s="22">
        <f t="shared" si="0"/>
        <v>8.8448239552095256</v>
      </c>
      <c r="L16" s="22">
        <f t="shared" si="1"/>
        <v>8.4243697666002184</v>
      </c>
      <c r="M16" s="22">
        <f t="shared" si="2"/>
        <v>4.8344618222062312</v>
      </c>
      <c r="N16" s="21">
        <v>44268.316733899999</v>
      </c>
      <c r="O16" s="21">
        <v>0</v>
      </c>
      <c r="P16" s="22">
        <v>4.21639448111</v>
      </c>
      <c r="Q16" s="22">
        <v>0</v>
      </c>
      <c r="R16" s="23">
        <v>40235.138915800002</v>
      </c>
      <c r="S16" s="23">
        <v>4033.1778619699999</v>
      </c>
      <c r="T16" s="23">
        <v>0</v>
      </c>
      <c r="U16" s="23">
        <v>0</v>
      </c>
      <c r="V16" s="23">
        <v>0</v>
      </c>
      <c r="W16" s="23">
        <v>0</v>
      </c>
      <c r="X16" s="22">
        <v>3.57880384605</v>
      </c>
      <c r="Y16" s="22">
        <v>0.63759065009000004</v>
      </c>
      <c r="Z16" s="22">
        <v>0</v>
      </c>
      <c r="AA16" s="22">
        <v>0</v>
      </c>
      <c r="AB16" s="22">
        <v>0</v>
      </c>
      <c r="AC16" s="22">
        <v>0</v>
      </c>
      <c r="AD16" s="21">
        <v>0</v>
      </c>
      <c r="AE16" s="21">
        <v>0</v>
      </c>
      <c r="AF16" s="21">
        <v>40235.138870700001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4033.1778652600001</v>
      </c>
      <c r="AM16" s="21">
        <v>0</v>
      </c>
      <c r="AN16" s="21">
        <v>0</v>
      </c>
      <c r="AO16" s="21">
        <v>0</v>
      </c>
      <c r="AP16" s="22">
        <v>0</v>
      </c>
      <c r="AQ16" s="22">
        <v>0</v>
      </c>
      <c r="AR16" s="22">
        <v>0.63759064909999996</v>
      </c>
      <c r="AS16" s="22">
        <v>0</v>
      </c>
      <c r="AT16" s="22">
        <v>0</v>
      </c>
      <c r="AU16" s="22">
        <v>3.5788038376800002</v>
      </c>
      <c r="AV16" s="22">
        <v>0</v>
      </c>
      <c r="AW16" s="22">
        <v>0</v>
      </c>
      <c r="AX16" s="22">
        <v>0</v>
      </c>
      <c r="AY16" s="22">
        <v>0</v>
      </c>
      <c r="AZ16" s="22">
        <v>0</v>
      </c>
      <c r="BA16" s="22">
        <v>0</v>
      </c>
      <c r="BB16" s="7">
        <v>2343.03395499</v>
      </c>
      <c r="BC16" s="1">
        <v>0.13081939601199999</v>
      </c>
      <c r="BD16" s="9">
        <v>1</v>
      </c>
      <c r="BE16" s="9">
        <v>0</v>
      </c>
      <c r="BF16" s="10">
        <v>0</v>
      </c>
      <c r="BG16" s="11">
        <v>-2.2019007003</v>
      </c>
      <c r="BH16" s="15">
        <v>569.11111111111109</v>
      </c>
      <c r="BI16" s="20">
        <v>1</v>
      </c>
      <c r="BJ16" s="15">
        <v>569.11111111111109</v>
      </c>
      <c r="BK16" s="13">
        <f t="shared" si="13"/>
        <v>18862355642.631622</v>
      </c>
      <c r="BL16" s="13">
        <f t="shared" si="10"/>
        <v>5334110931.1683722</v>
      </c>
      <c r="BM16" s="14">
        <v>77.955000516711124</v>
      </c>
      <c r="BN16" s="14">
        <v>22.044999483288862</v>
      </c>
      <c r="BO16" s="16">
        <v>5.749228835827716E-2</v>
      </c>
      <c r="BP16" s="16">
        <v>2.1101565177653377E-2</v>
      </c>
      <c r="BQ16" s="16">
        <v>5.5993127272727268</v>
      </c>
      <c r="BR16" s="16">
        <v>0.40769490909090911</v>
      </c>
      <c r="BS16" s="16">
        <v>0.17953636363636363</v>
      </c>
      <c r="BT16" s="16">
        <v>123.06181818181818</v>
      </c>
      <c r="BU16" s="16">
        <v>28.710909090909091</v>
      </c>
      <c r="BV16" s="16">
        <v>17.953636363636363</v>
      </c>
      <c r="BW16" s="16">
        <f>BT16*4</f>
        <v>492.24727272727273</v>
      </c>
      <c r="BX16" s="16">
        <f>BU16*1.29</f>
        <v>37.037072727272729</v>
      </c>
      <c r="BY16" s="16">
        <f>BV16*1.47</f>
        <v>26.391845454545454</v>
      </c>
      <c r="BZ16" s="16">
        <v>7.2399999999999999E-3</v>
      </c>
      <c r="CA16" s="16">
        <f t="shared" si="4"/>
        <v>371.02434971428568</v>
      </c>
      <c r="CB16" s="9">
        <f t="shared" si="5"/>
        <v>3.9573858486614109</v>
      </c>
      <c r="CC16" s="16">
        <f t="shared" si="6"/>
        <v>4.7837416733310489E-2</v>
      </c>
      <c r="CD16" s="16">
        <f t="shared" si="7"/>
        <v>0.15590950397958794</v>
      </c>
      <c r="CE16" s="17">
        <f t="shared" si="8"/>
        <v>4.1611327693743094</v>
      </c>
      <c r="CF16" s="9">
        <f t="shared" si="9"/>
        <v>2.0046486918770707</v>
      </c>
      <c r="CG16" s="18">
        <v>8709454.5454545468</v>
      </c>
      <c r="CH16" s="9">
        <f t="shared" si="11"/>
        <v>54.565933356377847</v>
      </c>
      <c r="CI16" s="9">
        <f t="shared" si="12"/>
        <v>8.1247568291814272</v>
      </c>
      <c r="CJ16" s="5">
        <v>57.55656947214802</v>
      </c>
      <c r="CK16" s="5">
        <v>1.8940174970933685</v>
      </c>
      <c r="CL16" s="5">
        <v>58.360455472712204</v>
      </c>
    </row>
    <row r="17" spans="1:90" x14ac:dyDescent="0.25">
      <c r="A17" s="2" t="s">
        <v>174</v>
      </c>
      <c r="B17" s="1" t="s">
        <v>15</v>
      </c>
      <c r="C17" s="1" t="s">
        <v>324</v>
      </c>
      <c r="D17" s="1" t="s">
        <v>343</v>
      </c>
      <c r="E17" s="1" t="s">
        <v>344</v>
      </c>
      <c r="F17" s="21">
        <v>397.17680941999998</v>
      </c>
      <c r="G17" s="22">
        <v>4.5794813373600002E-2</v>
      </c>
      <c r="H17" s="22">
        <v>1.21176862577E-5</v>
      </c>
      <c r="I17" s="22">
        <v>655040240.75999999</v>
      </c>
      <c r="J17" s="22">
        <v>546094.06522300001</v>
      </c>
      <c r="K17" s="22">
        <f t="shared" si="0"/>
        <v>0.72730475336297795</v>
      </c>
      <c r="L17" s="22">
        <f t="shared" si="1"/>
        <v>0.83858837313859991</v>
      </c>
      <c r="M17" s="22">
        <f t="shared" si="2"/>
        <v>1.1995007499166124</v>
      </c>
      <c r="N17" s="21">
        <v>257.84413211899999</v>
      </c>
      <c r="O17" s="21">
        <v>139.33267680099999</v>
      </c>
      <c r="P17" s="22">
        <v>2.97505484908E-2</v>
      </c>
      <c r="Q17" s="22">
        <v>1.6044264575500001E-2</v>
      </c>
      <c r="R17" s="23">
        <v>164.05752493400001</v>
      </c>
      <c r="S17" s="23">
        <v>93.786605960599999</v>
      </c>
      <c r="T17" s="23">
        <v>0</v>
      </c>
      <c r="U17" s="23">
        <v>89.095827331999999</v>
      </c>
      <c r="V17" s="23">
        <v>50.236849659400001</v>
      </c>
      <c r="W17" s="23">
        <v>0</v>
      </c>
      <c r="X17" s="22">
        <v>1.45924611896E-2</v>
      </c>
      <c r="Y17" s="22">
        <v>1.5158087338E-2</v>
      </c>
      <c r="Z17" s="22">
        <v>0</v>
      </c>
      <c r="AA17" s="22">
        <v>7.9248263614600002E-3</v>
      </c>
      <c r="AB17" s="22">
        <v>8.1194382750400008E-3</v>
      </c>
      <c r="AC17" s="22">
        <v>0</v>
      </c>
      <c r="AD17" s="21">
        <v>4.5568615156100005</v>
      </c>
      <c r="AE17" s="21">
        <v>43.938153649199997</v>
      </c>
      <c r="AF17" s="21">
        <v>115.562510976</v>
      </c>
      <c r="AG17" s="21">
        <v>5.5217974738800004</v>
      </c>
      <c r="AH17" s="21">
        <v>83.574029648000007</v>
      </c>
      <c r="AI17" s="21">
        <v>0</v>
      </c>
      <c r="AJ17" s="21">
        <v>2.6154342954200001</v>
      </c>
      <c r="AK17" s="21">
        <v>24.967292240799999</v>
      </c>
      <c r="AL17" s="21">
        <v>66.203879296799997</v>
      </c>
      <c r="AM17" s="21">
        <v>3.1134759058700001</v>
      </c>
      <c r="AN17" s="21">
        <v>47.123374002200002</v>
      </c>
      <c r="AO17" s="21">
        <v>0</v>
      </c>
      <c r="AP17" s="22">
        <v>4.2271475045899999E-4</v>
      </c>
      <c r="AQ17" s="22">
        <v>4.0352926050999998E-3</v>
      </c>
      <c r="AR17" s="22">
        <v>1.07000799949E-2</v>
      </c>
      <c r="AS17" s="22">
        <v>4.0532017211699999E-4</v>
      </c>
      <c r="AT17" s="22">
        <v>3.9081766915899999E-3</v>
      </c>
      <c r="AU17" s="22">
        <v>1.02789643584E-2</v>
      </c>
      <c r="AV17" s="22">
        <v>4.9114854648700003E-4</v>
      </c>
      <c r="AW17" s="22">
        <v>7.43367779744E-3</v>
      </c>
      <c r="AX17" s="22">
        <v>0</v>
      </c>
      <c r="AY17" s="22">
        <v>5.0320980717699995E-4</v>
      </c>
      <c r="AZ17" s="22">
        <v>7.6162284566800003E-3</v>
      </c>
      <c r="BA17" s="22">
        <v>0</v>
      </c>
      <c r="BB17" s="7">
        <v>1634.7509900499999</v>
      </c>
      <c r="BC17" s="1">
        <v>2.58835572908E-2</v>
      </c>
      <c r="BD17" s="9">
        <v>0.77100000000000002</v>
      </c>
      <c r="BE17" s="9">
        <v>0.20100000000000001</v>
      </c>
      <c r="BF17" s="10">
        <v>2.9000000000000001E-2</v>
      </c>
      <c r="BG17" s="11">
        <v>-26.920807830899999</v>
      </c>
      <c r="BH17" s="15">
        <v>589.66666666666663</v>
      </c>
      <c r="BI17" s="20">
        <v>0.98673267326732672</v>
      </c>
      <c r="BJ17" s="15">
        <v>581.84336633663361</v>
      </c>
      <c r="BK17" s="13">
        <f t="shared" si="13"/>
        <v>129811691.592301</v>
      </c>
      <c r="BL17" s="13">
        <f t="shared" si="10"/>
        <v>525228549.16769898</v>
      </c>
      <c r="BM17" s="14">
        <v>19.817361364194824</v>
      </c>
      <c r="BN17" s="14">
        <v>80.182638635805176</v>
      </c>
      <c r="BO17" s="16">
        <v>1.2449060362875086</v>
      </c>
      <c r="BP17" s="16">
        <v>0.52219606420097697</v>
      </c>
      <c r="BQ17" s="16">
        <v>2.9506749999999999</v>
      </c>
      <c r="BR17" s="16">
        <v>0.27953345454545447</v>
      </c>
      <c r="BS17" s="16">
        <v>1.6199999999999999E-2</v>
      </c>
      <c r="BT17" s="16">
        <v>64.850000000000009</v>
      </c>
      <c r="BU17" s="16">
        <v>19.685454545454544</v>
      </c>
      <c r="BV17" s="16">
        <v>1.62</v>
      </c>
      <c r="BW17" s="16">
        <f>BT17*6.87</f>
        <v>445.51950000000005</v>
      </c>
      <c r="BX17" s="16">
        <f>BU17*1.57</f>
        <v>30.906163636363633</v>
      </c>
      <c r="BY17" s="16">
        <f>BV17*0.61</f>
        <v>0.98820000000000008</v>
      </c>
      <c r="BZ17" s="16">
        <v>7.1999999999999998E-3</v>
      </c>
      <c r="CA17" s="16">
        <f t="shared" si="4"/>
        <v>194.43882857142862</v>
      </c>
      <c r="CB17" s="9">
        <f t="shared" si="5"/>
        <v>85.691032164456843</v>
      </c>
      <c r="CC17" s="16">
        <f t="shared" si="6"/>
        <v>1.0358448159269598</v>
      </c>
      <c r="CD17" s="16">
        <f t="shared" si="7"/>
        <v>3.3759776860723423</v>
      </c>
      <c r="CE17" s="17">
        <f t="shared" si="8"/>
        <v>90.102854666456153</v>
      </c>
      <c r="CF17" s="9">
        <f t="shared" si="9"/>
        <v>49.60862609909281</v>
      </c>
      <c r="CG17" s="18">
        <v>3456000</v>
      </c>
      <c r="CH17" s="9">
        <f t="shared" si="11"/>
        <v>17.326692478197295</v>
      </c>
      <c r="CI17" s="9">
        <f t="shared" si="12"/>
        <v>2.8047657817958673</v>
      </c>
      <c r="CJ17" s="5">
        <v>47.304949749912694</v>
      </c>
      <c r="CK17" s="5">
        <v>11.754062368693315</v>
      </c>
      <c r="CL17" s="5">
        <v>53.498758821522244</v>
      </c>
    </row>
    <row r="18" spans="1:90" x14ac:dyDescent="0.25">
      <c r="A18" s="2" t="s">
        <v>175</v>
      </c>
      <c r="B18" s="1" t="s">
        <v>16</v>
      </c>
      <c r="C18" s="1" t="s">
        <v>321</v>
      </c>
      <c r="D18" s="1" t="s">
        <v>335</v>
      </c>
      <c r="E18" s="1" t="s">
        <v>329</v>
      </c>
      <c r="F18" s="21">
        <v>23.7426317334</v>
      </c>
      <c r="G18" s="22">
        <v>3.2098753280599998E-3</v>
      </c>
      <c r="H18" s="22">
        <v>0</v>
      </c>
      <c r="I18" s="22">
        <v>11386198.875</v>
      </c>
      <c r="J18" s="22">
        <v>2534.63845825</v>
      </c>
      <c r="K18" s="22">
        <f t="shared" si="0"/>
        <v>9.3672656374797985</v>
      </c>
      <c r="L18" s="22">
        <f t="shared" si="1"/>
        <v>12.66403623606424</v>
      </c>
      <c r="M18" s="22">
        <f t="shared" si="2"/>
        <v>4.4922378724030789</v>
      </c>
      <c r="N18" s="21">
        <v>23.7426317334</v>
      </c>
      <c r="O18" s="21">
        <v>0</v>
      </c>
      <c r="P18" s="22">
        <v>3.2098753280599998E-3</v>
      </c>
      <c r="Q18" s="22">
        <v>0</v>
      </c>
      <c r="R18" s="23">
        <v>15.3522104621</v>
      </c>
      <c r="S18" s="23">
        <v>8.3904211670199995</v>
      </c>
      <c r="T18" s="23">
        <v>0</v>
      </c>
      <c r="U18" s="23">
        <v>0</v>
      </c>
      <c r="V18" s="23">
        <v>0</v>
      </c>
      <c r="W18" s="23">
        <v>0</v>
      </c>
      <c r="X18" s="22">
        <v>1.36553644562E-3</v>
      </c>
      <c r="Y18" s="22">
        <v>1.8443388938900001E-3</v>
      </c>
      <c r="Z18" s="22">
        <v>0</v>
      </c>
      <c r="AA18" s="22">
        <v>0</v>
      </c>
      <c r="AB18" s="22">
        <v>0</v>
      </c>
      <c r="AC18" s="22">
        <v>0</v>
      </c>
      <c r="AD18" s="21">
        <v>1.68664098047</v>
      </c>
      <c r="AE18" s="21">
        <v>0.84264830273400004</v>
      </c>
      <c r="AF18" s="21">
        <v>12.822920953099999</v>
      </c>
      <c r="AG18" s="21">
        <v>0</v>
      </c>
      <c r="AH18" s="21">
        <v>0</v>
      </c>
      <c r="AI18" s="21">
        <v>0</v>
      </c>
      <c r="AJ18" s="21">
        <v>0.97715664062499996</v>
      </c>
      <c r="AK18" s="21">
        <v>0.459194119141</v>
      </c>
      <c r="AL18" s="21">
        <v>6.9540705625000001</v>
      </c>
      <c r="AM18" s="21">
        <v>0</v>
      </c>
      <c r="AN18" s="21">
        <v>0</v>
      </c>
      <c r="AO18" s="21">
        <v>0</v>
      </c>
      <c r="AP18" s="22">
        <v>2.1479350250000001E-4</v>
      </c>
      <c r="AQ18" s="22">
        <v>1.009376685E-4</v>
      </c>
      <c r="AR18" s="22">
        <v>1.5286077159999999E-3</v>
      </c>
      <c r="AS18" s="22">
        <v>1.5002203300000001E-4</v>
      </c>
      <c r="AT18" s="22">
        <v>7.4951223749999995E-5</v>
      </c>
      <c r="AU18" s="22">
        <v>1.1405632040000001E-3</v>
      </c>
      <c r="AV18" s="22">
        <v>0</v>
      </c>
      <c r="AW18" s="22">
        <v>0</v>
      </c>
      <c r="AX18" s="22">
        <v>0</v>
      </c>
      <c r="AY18" s="22">
        <v>0</v>
      </c>
      <c r="AZ18" s="22">
        <v>0</v>
      </c>
      <c r="BA18" s="22">
        <v>0</v>
      </c>
      <c r="BB18" s="7">
        <v>0</v>
      </c>
      <c r="BC18" s="1">
        <v>0</v>
      </c>
      <c r="BD18" s="9">
        <v>0.84399999999999997</v>
      </c>
      <c r="BE18" s="9">
        <v>0.04</v>
      </c>
      <c r="BF18" s="10">
        <v>0.11600000000000001</v>
      </c>
      <c r="BG18" s="11">
        <v>-32.383641052199998</v>
      </c>
      <c r="BH18" s="15">
        <v>791.33333333333337</v>
      </c>
      <c r="BI18" s="20">
        <v>1</v>
      </c>
      <c r="BJ18" s="15">
        <v>791.33333333333337</v>
      </c>
      <c r="BK18" s="13">
        <f t="shared" si="13"/>
        <v>11386198.875</v>
      </c>
      <c r="BL18" s="13">
        <f t="shared" si="10"/>
        <v>0</v>
      </c>
      <c r="BM18" s="14">
        <v>100</v>
      </c>
      <c r="BN18" s="14">
        <v>0</v>
      </c>
      <c r="BO18" s="16">
        <v>0.28304347826086956</v>
      </c>
      <c r="BP18" s="16">
        <v>0.10388628762541806</v>
      </c>
      <c r="BQ18" s="16">
        <v>14.532245000000001</v>
      </c>
      <c r="BR18" s="16">
        <v>0.23140836363636366</v>
      </c>
      <c r="BS18" s="16">
        <v>0.29591818181818186</v>
      </c>
      <c r="BT18" s="16">
        <v>319.39000000000004</v>
      </c>
      <c r="BU18" s="16">
        <v>16.296363636363637</v>
      </c>
      <c r="BV18" s="16">
        <v>29.59181818181818</v>
      </c>
      <c r="BW18" s="16">
        <f>BT18*4</f>
        <v>1277.5600000000002</v>
      </c>
      <c r="BX18" s="16">
        <f>BU18*1.29</f>
        <v>21.022309090909093</v>
      </c>
      <c r="BY18" s="16">
        <f>BV18*1.47</f>
        <v>43.499972727272727</v>
      </c>
      <c r="BZ18" s="16">
        <v>8.5599999999999999E-3</v>
      </c>
      <c r="CA18" s="16">
        <f t="shared" si="4"/>
        <v>1138.5067194285714</v>
      </c>
      <c r="CB18" s="9">
        <f t="shared" si="5"/>
        <v>19.482826086956521</v>
      </c>
      <c r="CC18" s="16">
        <f t="shared" si="6"/>
        <v>0.23551104347826091</v>
      </c>
      <c r="CD18" s="16">
        <f t="shared" si="7"/>
        <v>0.76756673913043472</v>
      </c>
      <c r="CE18" s="17">
        <f t="shared" si="8"/>
        <v>20.485903869565217</v>
      </c>
      <c r="CF18" s="9">
        <f t="shared" si="9"/>
        <v>9.8691973244147153</v>
      </c>
      <c r="CG18" s="18">
        <v>4728.181818181818</v>
      </c>
      <c r="CH18" s="9">
        <f t="shared" si="11"/>
        <v>7.3033866654803353E-2</v>
      </c>
      <c r="CI18" s="9">
        <f t="shared" si="12"/>
        <v>1.1872200251631142E-2</v>
      </c>
      <c r="CJ18" s="5">
        <v>54.926936517899186</v>
      </c>
      <c r="CK18" s="5">
        <v>53.214133050473663</v>
      </c>
      <c r="CL18" s="5">
        <v>78.912176489188766</v>
      </c>
    </row>
    <row r="19" spans="1:90" x14ac:dyDescent="0.25">
      <c r="A19" s="2" t="s">
        <v>176</v>
      </c>
      <c r="B19" s="1" t="s">
        <v>17</v>
      </c>
      <c r="C19" s="1" t="s">
        <v>324</v>
      </c>
      <c r="D19" s="1" t="s">
        <v>325</v>
      </c>
      <c r="E19" s="1" t="s">
        <v>326</v>
      </c>
      <c r="F19" s="21">
        <v>56.408562851900001</v>
      </c>
      <c r="G19" s="22">
        <v>8.0357476168699989E-3</v>
      </c>
      <c r="H19" s="22">
        <v>2.2018069028900001E-7</v>
      </c>
      <c r="I19" s="22">
        <v>55608818.607500002</v>
      </c>
      <c r="J19" s="22">
        <v>5215.48964996</v>
      </c>
      <c r="K19" s="22">
        <f t="shared" si="0"/>
        <v>10.815583317729837</v>
      </c>
      <c r="L19" s="22">
        <f t="shared" si="1"/>
        <v>15.407465369874961</v>
      </c>
      <c r="M19" s="22">
        <f t="shared" si="2"/>
        <v>10.662243114206255</v>
      </c>
      <c r="N19" s="21">
        <v>33.737724758399999</v>
      </c>
      <c r="O19" s="21">
        <v>22.670838209300001</v>
      </c>
      <c r="P19" s="22">
        <v>4.78967518797E-3</v>
      </c>
      <c r="Q19" s="22">
        <v>3.2460725392200003E-3</v>
      </c>
      <c r="R19" s="23">
        <v>20.160775202699998</v>
      </c>
      <c r="S19" s="23">
        <v>13.5769492746</v>
      </c>
      <c r="T19" s="23">
        <v>0</v>
      </c>
      <c r="U19" s="23">
        <v>13.3384644466</v>
      </c>
      <c r="V19" s="23">
        <v>9.3323737323099998</v>
      </c>
      <c r="W19" s="23">
        <v>0</v>
      </c>
      <c r="X19" s="22">
        <v>1.7932449587299999E-3</v>
      </c>
      <c r="Y19" s="22">
        <v>2.9964302224500003E-3</v>
      </c>
      <c r="Z19" s="22">
        <v>0</v>
      </c>
      <c r="AA19" s="22">
        <v>1.18641936243E-3</v>
      </c>
      <c r="AB19" s="22">
        <v>2.0596531587299999E-3</v>
      </c>
      <c r="AC19" s="22">
        <v>0</v>
      </c>
      <c r="AD19" s="21">
        <v>1.2042685846899999</v>
      </c>
      <c r="AE19" s="21">
        <v>11.086480699500001</v>
      </c>
      <c r="AF19" s="21">
        <v>7.8700259033800002</v>
      </c>
      <c r="AG19" s="21">
        <v>0.82231080881700003</v>
      </c>
      <c r="AH19" s="21">
        <v>12.5161537189</v>
      </c>
      <c r="AI19" s="21">
        <v>0</v>
      </c>
      <c r="AJ19" s="21">
        <v>0.80709226762199993</v>
      </c>
      <c r="AK19" s="21">
        <v>7.5114265174000003</v>
      </c>
      <c r="AL19" s="21">
        <v>5.2584304499300005</v>
      </c>
      <c r="AM19" s="21">
        <v>0.57533697492500002</v>
      </c>
      <c r="AN19" s="21">
        <v>8.7570367650099996</v>
      </c>
      <c r="AO19" s="21">
        <v>0</v>
      </c>
      <c r="AP19" s="22">
        <v>1.7812511488499998E-4</v>
      </c>
      <c r="AQ19" s="22">
        <v>1.65777045645E-3</v>
      </c>
      <c r="AR19" s="22">
        <v>1.16053463807E-3</v>
      </c>
      <c r="AS19" s="22">
        <v>1.07116345554E-4</v>
      </c>
      <c r="AT19" s="22">
        <v>9.8611166792800004E-4</v>
      </c>
      <c r="AU19" s="22">
        <v>7.0001694340299995E-4</v>
      </c>
      <c r="AV19" s="22">
        <v>7.3142262239899987E-5</v>
      </c>
      <c r="AW19" s="22">
        <v>1.11327710643E-3</v>
      </c>
      <c r="AX19" s="22">
        <v>0</v>
      </c>
      <c r="AY19" s="22">
        <v>1.2697676432800001E-4</v>
      </c>
      <c r="AZ19" s="22">
        <v>1.93267639496E-3</v>
      </c>
      <c r="BA19" s="22">
        <v>0</v>
      </c>
      <c r="BB19" s="7">
        <v>2160.7442964500001</v>
      </c>
      <c r="BC19" s="1">
        <v>3.42117846849E-2</v>
      </c>
      <c r="BD19" s="9">
        <v>0.46700000000000003</v>
      </c>
      <c r="BE19" s="9">
        <v>0.46700000000000003</v>
      </c>
      <c r="BF19" s="10">
        <v>6.7000000000000004E-2</v>
      </c>
      <c r="BG19" s="11">
        <v>-33.279398733400001</v>
      </c>
      <c r="BH19" s="15">
        <v>834.44444444444446</v>
      </c>
      <c r="BI19" s="20">
        <v>0.95215366705471471</v>
      </c>
      <c r="BJ19" s="15">
        <v>794.51933773121198</v>
      </c>
      <c r="BK19" s="13">
        <f t="shared" si="13"/>
        <v>12653081.821409725</v>
      </c>
      <c r="BL19" s="13">
        <f t="shared" si="10"/>
        <v>42955736.786090277</v>
      </c>
      <c r="BM19" s="14">
        <v>22.753732480306986</v>
      </c>
      <c r="BN19" s="14">
        <v>77.246267519693006</v>
      </c>
      <c r="BO19" s="16">
        <v>2.8944107309159728</v>
      </c>
      <c r="BP19" s="16">
        <v>1.214107609577312</v>
      </c>
      <c r="BQ19" s="16">
        <v>1.3286</v>
      </c>
      <c r="BR19" s="16">
        <v>0.11087618181818182</v>
      </c>
      <c r="BS19" s="16">
        <v>7.8354545454545441E-2</v>
      </c>
      <c r="BT19" s="16">
        <v>29.200000000000003</v>
      </c>
      <c r="BU19" s="16">
        <v>7.8081818181818168</v>
      </c>
      <c r="BV19" s="16">
        <v>7.835454545454545</v>
      </c>
      <c r="BW19" s="16">
        <f>BT19*5.66</f>
        <v>165.27200000000002</v>
      </c>
      <c r="BX19" s="16">
        <f>BU19*1.36</f>
        <v>10.619127272727271</v>
      </c>
      <c r="BY19" s="16">
        <f>BV19*1.36</f>
        <v>10.656218181818183</v>
      </c>
      <c r="BZ19" s="16">
        <v>7.1999999999999998E-3</v>
      </c>
      <c r="CA19" s="16">
        <f t="shared" si="4"/>
        <v>87.549942857142867</v>
      </c>
      <c r="CB19" s="9">
        <f t="shared" si="5"/>
        <v>199.23193864471611</v>
      </c>
      <c r="CC19" s="16">
        <f t="shared" si="6"/>
        <v>2.4083426888374837</v>
      </c>
      <c r="CD19" s="16">
        <f t="shared" si="7"/>
        <v>7.8491595004556327</v>
      </c>
      <c r="CE19" s="17">
        <f t="shared" si="8"/>
        <v>209.48944083400923</v>
      </c>
      <c r="CF19" s="9">
        <f t="shared" si="9"/>
        <v>115.34022290984464</v>
      </c>
      <c r="CG19" s="18">
        <v>1109399.9999999998</v>
      </c>
      <c r="CH19" s="9">
        <f t="shared" si="11"/>
        <v>6.2418716557796134</v>
      </c>
      <c r="CI19" s="9">
        <f t="shared" si="12"/>
        <v>0.66444956061041827</v>
      </c>
      <c r="CJ19" s="5">
        <v>50.271561532639616</v>
      </c>
      <c r="CK19" s="5">
        <v>19.935276957353373</v>
      </c>
      <c r="CL19" s="5">
        <v>60.185063467674958</v>
      </c>
    </row>
    <row r="20" spans="1:90" x14ac:dyDescent="0.25">
      <c r="A20" s="2" t="s">
        <v>177</v>
      </c>
      <c r="B20" s="1" t="s">
        <v>18</v>
      </c>
      <c r="C20" s="1" t="s">
        <v>324</v>
      </c>
      <c r="D20" s="1" t="s">
        <v>343</v>
      </c>
      <c r="E20" s="1" t="s">
        <v>344</v>
      </c>
      <c r="F20" s="21">
        <v>337.68609156500003</v>
      </c>
      <c r="G20" s="22">
        <v>3.88930864736E-2</v>
      </c>
      <c r="H20" s="22">
        <v>1.1928158744199999E-5</v>
      </c>
      <c r="I20" s="22">
        <v>215927959.697</v>
      </c>
      <c r="J20" s="22">
        <v>113115.49827900001</v>
      </c>
      <c r="K20" s="22">
        <f t="shared" si="0"/>
        <v>2.9853211690947545</v>
      </c>
      <c r="L20" s="22">
        <f t="shared" si="1"/>
        <v>3.4383516905587936</v>
      </c>
      <c r="M20" s="22">
        <f t="shared" si="2"/>
        <v>1.9089157806157779</v>
      </c>
      <c r="N20" s="21">
        <v>64.299728211000001</v>
      </c>
      <c r="O20" s="21">
        <v>273.38636402499998</v>
      </c>
      <c r="P20" s="22">
        <v>7.4119306241699993E-3</v>
      </c>
      <c r="Q20" s="22">
        <v>3.1481155814999995E-2</v>
      </c>
      <c r="R20" s="23">
        <v>42.502709537000001</v>
      </c>
      <c r="S20" s="23">
        <v>21.797018726899999</v>
      </c>
      <c r="T20" s="23">
        <v>0</v>
      </c>
      <c r="U20" s="23">
        <v>181.129660613</v>
      </c>
      <c r="V20" s="23">
        <v>92.256703069500006</v>
      </c>
      <c r="W20" s="23">
        <v>0</v>
      </c>
      <c r="X20" s="22">
        <v>3.7804979470299998E-3</v>
      </c>
      <c r="Y20" s="22">
        <v>3.63143268111E-3</v>
      </c>
      <c r="Z20" s="22">
        <v>0</v>
      </c>
      <c r="AA20" s="22">
        <v>1.61109801654E-2</v>
      </c>
      <c r="AB20" s="22">
        <v>1.5370175651699999E-2</v>
      </c>
      <c r="AC20" s="22">
        <v>0</v>
      </c>
      <c r="AD20" s="21">
        <v>0</v>
      </c>
      <c r="AE20" s="21">
        <v>42.502709532700003</v>
      </c>
      <c r="AF20" s="21">
        <v>0</v>
      </c>
      <c r="AG20" s="21">
        <v>0</v>
      </c>
      <c r="AH20" s="21">
        <v>181.12966063100001</v>
      </c>
      <c r="AI20" s="21">
        <v>0</v>
      </c>
      <c r="AJ20" s="21">
        <v>0</v>
      </c>
      <c r="AK20" s="21">
        <v>21.7970187397</v>
      </c>
      <c r="AL20" s="21">
        <v>0</v>
      </c>
      <c r="AM20" s="21">
        <v>0</v>
      </c>
      <c r="AN20" s="21">
        <v>92.256703153200007</v>
      </c>
      <c r="AO20" s="21">
        <v>0</v>
      </c>
      <c r="AP20" s="22">
        <v>0</v>
      </c>
      <c r="AQ20" s="22">
        <v>3.6314326818200002E-3</v>
      </c>
      <c r="AR20" s="22">
        <v>0</v>
      </c>
      <c r="AS20" s="22">
        <v>0</v>
      </c>
      <c r="AT20" s="22">
        <v>3.7804979470100002E-3</v>
      </c>
      <c r="AU20" s="22">
        <v>0</v>
      </c>
      <c r="AV20" s="22">
        <v>0</v>
      </c>
      <c r="AW20" s="22">
        <v>1.6110980174099999E-2</v>
      </c>
      <c r="AX20" s="22">
        <v>0</v>
      </c>
      <c r="AY20" s="22">
        <v>0</v>
      </c>
      <c r="AZ20" s="22">
        <v>1.53701756497E-2</v>
      </c>
      <c r="BA20" s="22">
        <v>0</v>
      </c>
      <c r="BB20" s="7">
        <v>6868.0897808299997</v>
      </c>
      <c r="BC20" s="1">
        <v>0.37965274063999999</v>
      </c>
      <c r="BD20" s="9">
        <v>0</v>
      </c>
      <c r="BE20" s="9">
        <v>1</v>
      </c>
      <c r="BF20" s="10">
        <v>0</v>
      </c>
      <c r="BG20" s="11">
        <v>-6.4969990084799996</v>
      </c>
      <c r="BH20" s="15">
        <v>596.66666666666663</v>
      </c>
      <c r="BI20" s="20">
        <v>1.0051980198019803</v>
      </c>
      <c r="BJ20" s="15">
        <v>599.76815181518157</v>
      </c>
      <c r="BK20" s="13">
        <f t="shared" si="13"/>
        <v>32463098.128481891</v>
      </c>
      <c r="BL20" s="13">
        <f t="shared" si="10"/>
        <v>183464861.5685181</v>
      </c>
      <c r="BM20" s="14">
        <v>15.034226310495221</v>
      </c>
      <c r="BN20" s="14">
        <v>84.965773689504772</v>
      </c>
      <c r="BO20" s="16">
        <v>1.4666014543630894</v>
      </c>
      <c r="BP20" s="16">
        <v>0.61518980942828483</v>
      </c>
      <c r="BQ20" s="16">
        <v>3.1962095454545461</v>
      </c>
      <c r="BR20" s="16">
        <v>0.35289581818181825</v>
      </c>
      <c r="BS20" s="16">
        <v>0.9076545454545456</v>
      </c>
      <c r="BT20" s="16">
        <v>70.24636363636364</v>
      </c>
      <c r="BU20" s="16">
        <v>24.851818181818182</v>
      </c>
      <c r="BV20" s="16">
        <v>90.765454545454546</v>
      </c>
      <c r="BW20" s="16">
        <f>BT20*6.87</f>
        <v>482.59251818181821</v>
      </c>
      <c r="BX20" s="16">
        <f>BU20*1.57</f>
        <v>39.017354545454545</v>
      </c>
      <c r="BY20" s="16">
        <f>BV20*0.61</f>
        <v>55.366927272727274</v>
      </c>
      <c r="BZ20" s="16">
        <v>2.66E-3</v>
      </c>
      <c r="CA20" s="16">
        <f t="shared" si="4"/>
        <v>77.811897000000002</v>
      </c>
      <c r="CB20" s="9">
        <f t="shared" si="5"/>
        <v>100.95106677532598</v>
      </c>
      <c r="CC20" s="16">
        <f t="shared" si="6"/>
        <v>1.2203101834603816</v>
      </c>
      <c r="CD20" s="16">
        <f t="shared" si="7"/>
        <v>3.9771787106569718</v>
      </c>
      <c r="CE20" s="17">
        <f t="shared" si="8"/>
        <v>106.14855566944334</v>
      </c>
      <c r="CF20" s="9">
        <f t="shared" si="9"/>
        <v>58.443031895687056</v>
      </c>
      <c r="CG20" s="18">
        <v>5741272.7272727266</v>
      </c>
      <c r="CH20" s="9">
        <f t="shared" si="11"/>
        <v>37.539605524746158</v>
      </c>
      <c r="CI20" s="9">
        <f t="shared" si="12"/>
        <v>4.7042856810387494</v>
      </c>
      <c r="CJ20" s="5">
        <v>28.163904771129577</v>
      </c>
      <c r="CK20" s="5">
        <v>6.1084316190977077</v>
      </c>
      <c r="CL20" s="5">
        <v>32.551963526015037</v>
      </c>
    </row>
    <row r="21" spans="1:90" x14ac:dyDescent="0.25">
      <c r="A21" s="2" t="s">
        <v>178</v>
      </c>
      <c r="B21" s="1" t="s">
        <v>19</v>
      </c>
      <c r="C21" s="1" t="s">
        <v>332</v>
      </c>
      <c r="D21" s="1" t="s">
        <v>338</v>
      </c>
      <c r="E21" s="1" t="s">
        <v>339</v>
      </c>
      <c r="F21" s="21">
        <v>45.075315311600001</v>
      </c>
      <c r="G21" s="22">
        <v>3.6128272958399999E-3</v>
      </c>
      <c r="H21" s="22">
        <v>1.09961313009E-6</v>
      </c>
      <c r="I21" s="22">
        <v>110279773.598</v>
      </c>
      <c r="J21" s="22">
        <v>5532.9088751600002</v>
      </c>
      <c r="K21" s="22">
        <f t="shared" si="0"/>
        <v>8.1467662541788233</v>
      </c>
      <c r="L21" s="22">
        <f t="shared" si="1"/>
        <v>6.5297068456337524</v>
      </c>
      <c r="M21" s="22">
        <f t="shared" si="2"/>
        <v>19.931608505808068</v>
      </c>
      <c r="N21" s="21">
        <v>35.350523986699997</v>
      </c>
      <c r="O21" s="21">
        <v>9.72479116381</v>
      </c>
      <c r="P21" s="22">
        <v>2.82774798287E-3</v>
      </c>
      <c r="Q21" s="22">
        <v>7.8507929614199997E-4</v>
      </c>
      <c r="R21" s="23">
        <v>21.3001793259</v>
      </c>
      <c r="S21" s="23">
        <v>14.0503454042</v>
      </c>
      <c r="T21" s="23">
        <v>0</v>
      </c>
      <c r="U21" s="23">
        <v>6.1781151968800003</v>
      </c>
      <c r="V21" s="23">
        <v>3.5466758739199999</v>
      </c>
      <c r="W21" s="23">
        <v>0</v>
      </c>
      <c r="X21" s="22">
        <v>1.8945917925100001E-3</v>
      </c>
      <c r="Y21" s="22">
        <v>9.3315616219099998E-4</v>
      </c>
      <c r="Z21" s="22">
        <v>0</v>
      </c>
      <c r="AA21" s="22">
        <v>5.4952619147999998E-4</v>
      </c>
      <c r="AB21" s="22">
        <v>2.35553107949E-4</v>
      </c>
      <c r="AC21" s="22">
        <v>0</v>
      </c>
      <c r="AD21" s="21">
        <v>0.336442639223</v>
      </c>
      <c r="AE21" s="21">
        <v>3.39311184518</v>
      </c>
      <c r="AF21" s="21">
        <v>17.5706248559</v>
      </c>
      <c r="AG21" s="21">
        <v>0.433303409779</v>
      </c>
      <c r="AH21" s="21">
        <v>5.7448118282500005</v>
      </c>
      <c r="AI21" s="21">
        <v>0</v>
      </c>
      <c r="AJ21" s="21">
        <v>0.22141438879399999</v>
      </c>
      <c r="AK21" s="21">
        <v>2.2169075831399998</v>
      </c>
      <c r="AL21" s="21">
        <v>11.6120233301</v>
      </c>
      <c r="AM21" s="21">
        <v>0.24874685973600003</v>
      </c>
      <c r="AN21" s="21">
        <v>3.2979290567299997</v>
      </c>
      <c r="AO21" s="21">
        <v>0</v>
      </c>
      <c r="AP21" s="22">
        <v>1.47052757054E-5</v>
      </c>
      <c r="AQ21" s="22">
        <v>1.47236309046E-4</v>
      </c>
      <c r="AR21" s="22">
        <v>7.7121458116400005E-4</v>
      </c>
      <c r="AS21" s="22">
        <v>2.9925638152800001E-5</v>
      </c>
      <c r="AT21" s="22">
        <v>3.0180787320899997E-4</v>
      </c>
      <c r="AU21" s="22">
        <v>1.5628582786500001E-3</v>
      </c>
      <c r="AV21" s="22">
        <v>3.8541134571800002E-5</v>
      </c>
      <c r="AW21" s="22">
        <v>5.1098505527299998E-4</v>
      </c>
      <c r="AX21" s="22">
        <v>0</v>
      </c>
      <c r="AY21" s="22">
        <v>1.6520566718200001E-5</v>
      </c>
      <c r="AZ21" s="22">
        <v>2.1903254096200002E-4</v>
      </c>
      <c r="BA21" s="22">
        <v>0</v>
      </c>
      <c r="BB21" s="7">
        <v>117.656292327</v>
      </c>
      <c r="BC21" s="1">
        <v>2.32044347858E-3</v>
      </c>
      <c r="BD21" s="9">
        <v>0.90100000000000002</v>
      </c>
      <c r="BE21" s="9">
        <v>8.5000000000000006E-2</v>
      </c>
      <c r="BF21" s="10">
        <v>1.4E-2</v>
      </c>
      <c r="BG21" s="11">
        <v>-11.7912106484</v>
      </c>
      <c r="BH21" s="12">
        <v>239.09463640000001</v>
      </c>
      <c r="BI21" s="20">
        <v>1</v>
      </c>
      <c r="BJ21" s="15">
        <v>239.09463640000001</v>
      </c>
      <c r="BK21" s="13">
        <f t="shared" si="13"/>
        <v>36814767.212529257</v>
      </c>
      <c r="BL21" s="13">
        <f t="shared" si="10"/>
        <v>73465006.385470748</v>
      </c>
      <c r="BM21" s="14">
        <v>33.383063830661435</v>
      </c>
      <c r="BN21" s="14">
        <v>66.616936169338572</v>
      </c>
      <c r="BO21" s="16">
        <v>1.2582326732673268</v>
      </c>
      <c r="BP21" s="16">
        <v>0.52778613861386137</v>
      </c>
      <c r="BQ21" s="16">
        <v>2.4091009090909092</v>
      </c>
      <c r="BR21" s="16">
        <v>0.42115909090909098</v>
      </c>
      <c r="BS21" s="16">
        <v>7.9472727272727264E-2</v>
      </c>
      <c r="BT21" s="16">
        <v>52.947272727272725</v>
      </c>
      <c r="BU21" s="16">
        <v>29.659090909090914</v>
      </c>
      <c r="BV21" s="16">
        <v>7.9472727272727264</v>
      </c>
      <c r="BW21" s="16">
        <f>BT21*3.53</f>
        <v>186.9038727272727</v>
      </c>
      <c r="BX21" s="16">
        <f>BU21*0.54</f>
        <v>16.015909090909094</v>
      </c>
      <c r="BY21" s="16">
        <f>BV21*1.02</f>
        <v>8.1062181818181802</v>
      </c>
      <c r="BZ21" s="16">
        <v>2.4420000000000001E-2</v>
      </c>
      <c r="CA21" s="16">
        <f t="shared" si="4"/>
        <v>538.43064942857143</v>
      </c>
      <c r="CB21" s="9">
        <f t="shared" si="5"/>
        <v>86.608349009900991</v>
      </c>
      <c r="CC21" s="16">
        <f t="shared" si="6"/>
        <v>1.0469334663366339</v>
      </c>
      <c r="CD21" s="16">
        <f t="shared" si="7"/>
        <v>3.412117304455446</v>
      </c>
      <c r="CE21" s="17">
        <f t="shared" si="8"/>
        <v>91.06739978069308</v>
      </c>
      <c r="CF21" s="9">
        <f t="shared" si="9"/>
        <v>50.139683168316829</v>
      </c>
      <c r="CG21" s="18">
        <v>102181.81818181819</v>
      </c>
      <c r="CH21" s="9">
        <f t="shared" si="11"/>
        <v>0.47982043000081831</v>
      </c>
      <c r="CI21" s="9">
        <f t="shared" si="12"/>
        <v>9.1009639562945596E-2</v>
      </c>
      <c r="CJ21" s="5">
        <v>26.43843426023172</v>
      </c>
      <c r="CK21" s="5">
        <v>6.8075111940279864</v>
      </c>
      <c r="CL21" s="5">
        <v>31.446146082468694</v>
      </c>
    </row>
    <row r="22" spans="1:90" x14ac:dyDescent="0.25">
      <c r="A22" s="2" t="s">
        <v>179</v>
      </c>
      <c r="B22" s="1" t="s">
        <v>20</v>
      </c>
      <c r="C22" s="1" t="s">
        <v>334</v>
      </c>
      <c r="D22" s="1" t="s">
        <v>334</v>
      </c>
      <c r="E22" s="1" t="s">
        <v>339</v>
      </c>
      <c r="F22" s="21">
        <v>645.20132096199995</v>
      </c>
      <c r="G22" s="22">
        <v>5.8000376081500001E-2</v>
      </c>
      <c r="H22" s="22">
        <v>1.51102366466E-5</v>
      </c>
      <c r="I22" s="22">
        <v>1824524651.79</v>
      </c>
      <c r="J22" s="22">
        <v>128300.014543</v>
      </c>
      <c r="K22" s="22">
        <f t="shared" si="0"/>
        <v>5.0288483852490877</v>
      </c>
      <c r="L22" s="22">
        <f t="shared" si="1"/>
        <v>4.5206835157498029</v>
      </c>
      <c r="M22" s="22">
        <f t="shared" si="2"/>
        <v>14.220767303019338</v>
      </c>
      <c r="N22" s="21">
        <v>468.79432484199998</v>
      </c>
      <c r="O22" s="21">
        <v>176.40699624499999</v>
      </c>
      <c r="P22" s="22">
        <v>4.2143006850500001E-2</v>
      </c>
      <c r="Q22" s="22">
        <v>1.5857369138699999E-2</v>
      </c>
      <c r="R22" s="23">
        <v>404.73787045199998</v>
      </c>
      <c r="S22" s="23">
        <v>64.056455056199994</v>
      </c>
      <c r="T22" s="23">
        <v>0</v>
      </c>
      <c r="U22" s="23">
        <v>152.448926129</v>
      </c>
      <c r="V22" s="23">
        <v>23.958070548399999</v>
      </c>
      <c r="W22" s="23">
        <v>0</v>
      </c>
      <c r="X22" s="22">
        <v>3.6000309269600003E-2</v>
      </c>
      <c r="Y22" s="22">
        <v>6.1426976993300001E-3</v>
      </c>
      <c r="Z22" s="22">
        <v>0</v>
      </c>
      <c r="AA22" s="22">
        <v>1.35599085032E-2</v>
      </c>
      <c r="AB22" s="22">
        <v>2.2974606558199997E-3</v>
      </c>
      <c r="AC22" s="22">
        <v>0</v>
      </c>
      <c r="AD22" s="21">
        <v>5.0313961851600002</v>
      </c>
      <c r="AE22" s="21">
        <v>31.056523243900003</v>
      </c>
      <c r="AF22" s="21">
        <v>368.649949666</v>
      </c>
      <c r="AG22" s="21">
        <v>12.989277397399999</v>
      </c>
      <c r="AH22" s="21">
        <v>139.45964852700001</v>
      </c>
      <c r="AI22" s="21">
        <v>0</v>
      </c>
      <c r="AJ22" s="21">
        <v>0.79624341215200001</v>
      </c>
      <c r="AK22" s="21">
        <v>4.9086240083100003</v>
      </c>
      <c r="AL22" s="21">
        <v>58.3515875812</v>
      </c>
      <c r="AM22" s="21">
        <v>2.0413264341600001</v>
      </c>
      <c r="AN22" s="21">
        <v>21.9167440513</v>
      </c>
      <c r="AO22" s="21">
        <v>0</v>
      </c>
      <c r="AP22" s="22">
        <v>7.6355811217600008E-5</v>
      </c>
      <c r="AQ22" s="22">
        <v>4.7071280279299997E-4</v>
      </c>
      <c r="AR22" s="22">
        <v>5.5956290870299999E-3</v>
      </c>
      <c r="AS22" s="22">
        <v>4.4752871502800001E-4</v>
      </c>
      <c r="AT22" s="22">
        <v>2.7623914748200001E-3</v>
      </c>
      <c r="AU22" s="22">
        <v>3.27903890718E-2</v>
      </c>
      <c r="AV22" s="22">
        <v>1.15536014341E-3</v>
      </c>
      <c r="AW22" s="22">
        <v>1.24045483559E-2</v>
      </c>
      <c r="AX22" s="22">
        <v>0</v>
      </c>
      <c r="AY22" s="22">
        <v>1.95753124602E-4</v>
      </c>
      <c r="AZ22" s="22">
        <v>2.1017075288100001E-3</v>
      </c>
      <c r="BA22" s="22">
        <v>0</v>
      </c>
      <c r="BB22" s="7">
        <v>751.62440414699995</v>
      </c>
      <c r="BC22" s="1">
        <v>1.4823703552E-2</v>
      </c>
      <c r="BD22" s="9">
        <v>0.92800000000000005</v>
      </c>
      <c r="BE22" s="9">
        <v>5.8999999999999997E-2</v>
      </c>
      <c r="BF22" s="10">
        <v>1.2E-2</v>
      </c>
      <c r="BG22" s="11">
        <v>-71.437637876400004</v>
      </c>
      <c r="BH22" s="15">
        <v>345.22222222222223</v>
      </c>
      <c r="BI22" s="20">
        <v>1</v>
      </c>
      <c r="BJ22" s="15">
        <v>345.22222222222223</v>
      </c>
      <c r="BK22" s="13">
        <f t="shared" si="13"/>
        <v>130483833.28071322</v>
      </c>
      <c r="BL22" s="13">
        <f t="shared" si="10"/>
        <v>1694040818.5092866</v>
      </c>
      <c r="BM22" s="14">
        <v>7.1516618398495453</v>
      </c>
      <c r="BN22" s="14">
        <v>92.848338160150448</v>
      </c>
      <c r="BO22" s="16">
        <v>0.18073640361027538</v>
      </c>
      <c r="BP22" s="16">
        <v>7.5812821106225406E-2</v>
      </c>
      <c r="BQ22" s="16">
        <v>0.10531181818181819</v>
      </c>
      <c r="BR22" s="16">
        <v>2.2487636363636359E-2</v>
      </c>
      <c r="BS22" s="16">
        <v>6.1727272727272733E-3</v>
      </c>
      <c r="BT22" s="16">
        <v>2.3145454545454549</v>
      </c>
      <c r="BU22" s="16">
        <v>1.5836363636363635</v>
      </c>
      <c r="BV22" s="16">
        <v>0.61727272727272731</v>
      </c>
      <c r="BW22" s="16">
        <f>BT22*3.53</f>
        <v>8.1703454545454548</v>
      </c>
      <c r="BX22" s="16">
        <f>BU22*0.54</f>
        <v>0.85516363636363635</v>
      </c>
      <c r="BY22" s="16">
        <f>BV22*1.02</f>
        <v>0.62961818181818185</v>
      </c>
      <c r="BZ22" s="16">
        <v>2.4420000000000001E-2</v>
      </c>
      <c r="CA22" s="16">
        <f t="shared" si="4"/>
        <v>23.537042571428575</v>
      </c>
      <c r="CB22" s="9">
        <f t="shared" si="5"/>
        <v>12.440689115173955</v>
      </c>
      <c r="CC22" s="16">
        <f t="shared" si="6"/>
        <v>0.15038473689732315</v>
      </c>
      <c r="CD22" s="16">
        <f t="shared" si="7"/>
        <v>0.49012700385713182</v>
      </c>
      <c r="CE22" s="17">
        <f t="shared" si="8"/>
        <v>13.08120085592841</v>
      </c>
      <c r="CF22" s="9">
        <f t="shared" si="9"/>
        <v>7.2022180050914137</v>
      </c>
      <c r="CG22" s="18">
        <v>3980090.9090909092</v>
      </c>
      <c r="CH22" s="9">
        <f t="shared" si="11"/>
        <v>1.5543106999540852</v>
      </c>
      <c r="CI22" s="9">
        <f t="shared" si="12"/>
        <v>0.21283770446375419</v>
      </c>
      <c r="CJ22" s="5">
        <v>41.672400209639868</v>
      </c>
      <c r="CK22" s="5">
        <v>3.6042513914187899</v>
      </c>
      <c r="CL22" s="5">
        <v>43.774673536665112</v>
      </c>
    </row>
    <row r="23" spans="1:90" x14ac:dyDescent="0.25">
      <c r="A23" s="2" t="s">
        <v>180</v>
      </c>
      <c r="B23" s="1" t="s">
        <v>21</v>
      </c>
      <c r="C23" s="1" t="s">
        <v>334</v>
      </c>
      <c r="D23" s="1" t="s">
        <v>334</v>
      </c>
      <c r="E23" s="1" t="s">
        <v>339</v>
      </c>
      <c r="F23" s="21">
        <v>39456.176389100001</v>
      </c>
      <c r="G23" s="22">
        <v>2.8630506053399998</v>
      </c>
      <c r="H23" s="22">
        <v>4.8340884750799998E-4</v>
      </c>
      <c r="I23" s="22">
        <v>32775530627.599998</v>
      </c>
      <c r="J23" s="22">
        <v>4436718.7853699997</v>
      </c>
      <c r="K23" s="22">
        <f t="shared" si="0"/>
        <v>8.8930983228430058</v>
      </c>
      <c r="L23" s="22">
        <f t="shared" si="1"/>
        <v>6.4530810805067427</v>
      </c>
      <c r="M23" s="22">
        <f t="shared" si="2"/>
        <v>7.3873355993795959</v>
      </c>
      <c r="N23" s="21">
        <v>18982.179700000001</v>
      </c>
      <c r="O23" s="21">
        <v>20473.996703000001</v>
      </c>
      <c r="P23" s="22">
        <v>1.3828370756300001</v>
      </c>
      <c r="Q23" s="22">
        <v>1.48021352896</v>
      </c>
      <c r="R23" s="23">
        <v>14450.4584849</v>
      </c>
      <c r="S23" s="23">
        <v>4531.7211924200001</v>
      </c>
      <c r="T23" s="23">
        <v>0</v>
      </c>
      <c r="U23" s="23">
        <v>15418.5264809</v>
      </c>
      <c r="V23" s="23">
        <v>5055.4702143000004</v>
      </c>
      <c r="W23" s="23">
        <v>0</v>
      </c>
      <c r="X23" s="22">
        <v>1.2853281435400001</v>
      </c>
      <c r="Y23" s="22">
        <v>9.7508933149699994E-2</v>
      </c>
      <c r="Z23" s="22">
        <v>0</v>
      </c>
      <c r="AA23" s="22">
        <v>1.37143510026</v>
      </c>
      <c r="AB23" s="22">
        <v>0.10877842767400001</v>
      </c>
      <c r="AC23" s="22">
        <v>0</v>
      </c>
      <c r="AD23" s="21">
        <v>765.87389054400001</v>
      </c>
      <c r="AE23" s="21">
        <v>8125.3092431499999</v>
      </c>
      <c r="AF23" s="21">
        <v>5559.2753558599998</v>
      </c>
      <c r="AG23" s="21">
        <v>909.37437391399999</v>
      </c>
      <c r="AH23" s="21">
        <v>14509.152103100001</v>
      </c>
      <c r="AI23" s="21">
        <v>0</v>
      </c>
      <c r="AJ23" s="21">
        <v>240.97220805700002</v>
      </c>
      <c r="AK23" s="21">
        <v>2542.8801729199999</v>
      </c>
      <c r="AL23" s="21">
        <v>1747.86881561</v>
      </c>
      <c r="AM23" s="21">
        <v>298.16825012099997</v>
      </c>
      <c r="AN23" s="21">
        <v>4757.3019602100003</v>
      </c>
      <c r="AO23" s="21">
        <v>0</v>
      </c>
      <c r="AP23" s="22">
        <v>5.1849930487299998E-3</v>
      </c>
      <c r="AQ23" s="22">
        <v>5.4715089938199998E-2</v>
      </c>
      <c r="AR23" s="22">
        <v>3.7608850155500001E-2</v>
      </c>
      <c r="AS23" s="22">
        <v>6.8122355109300009E-2</v>
      </c>
      <c r="AT23" s="22">
        <v>0.72272368697300005</v>
      </c>
      <c r="AU23" s="22">
        <v>0.49448210074799998</v>
      </c>
      <c r="AV23" s="22">
        <v>8.0886324521600009E-2</v>
      </c>
      <c r="AW23" s="22">
        <v>1.2905487761000001</v>
      </c>
      <c r="AX23" s="22">
        <v>0</v>
      </c>
      <c r="AY23" s="22">
        <v>6.4156788727500001E-3</v>
      </c>
      <c r="AZ23" s="22">
        <v>0.102362748809</v>
      </c>
      <c r="BA23" s="22">
        <v>0</v>
      </c>
      <c r="BB23" s="7">
        <v>38911.834028999998</v>
      </c>
      <c r="BC23" s="1">
        <v>0.76742783661999991</v>
      </c>
      <c r="BD23" s="9">
        <v>0.48499999999999999</v>
      </c>
      <c r="BE23" s="9">
        <v>0.45300000000000001</v>
      </c>
      <c r="BF23" s="10">
        <v>6.2E-2</v>
      </c>
      <c r="BG23" s="11">
        <v>-25.610214441</v>
      </c>
      <c r="BH23" s="15">
        <v>81.111111111111114</v>
      </c>
      <c r="BI23" s="20">
        <v>0.95500000000000007</v>
      </c>
      <c r="BJ23" s="15">
        <v>77.461111111111123</v>
      </c>
      <c r="BK23" s="13">
        <f t="shared" si="13"/>
        <v>6992511708.1516199</v>
      </c>
      <c r="BL23" s="13">
        <f t="shared" si="10"/>
        <v>25783018919.448383</v>
      </c>
      <c r="BM23" s="14">
        <v>21.334549202578842</v>
      </c>
      <c r="BN23" s="14">
        <v>78.665450797421173</v>
      </c>
      <c r="BO23" s="16">
        <v>1.5947484098219875</v>
      </c>
      <c r="BP23" s="16">
        <v>0.66894313203208011</v>
      </c>
      <c r="BQ23" s="16">
        <v>1.8236813636363636</v>
      </c>
      <c r="BR23" s="16">
        <v>0.74466090909090898</v>
      </c>
      <c r="BS23" s="16">
        <v>0.59021818181818186</v>
      </c>
      <c r="BT23" s="16">
        <v>40.080909090909088</v>
      </c>
      <c r="BU23" s="16">
        <v>52.440909090909095</v>
      </c>
      <c r="BV23" s="16">
        <v>59.021818181818183</v>
      </c>
      <c r="BW23" s="16">
        <f>BT23*3.53</f>
        <v>141.48560909090907</v>
      </c>
      <c r="BX23" s="16">
        <f>BU23*0.54</f>
        <v>28.318090909090913</v>
      </c>
      <c r="BY23" s="16">
        <f>BV23*1.02</f>
        <v>60.202254545454551</v>
      </c>
      <c r="BZ23" s="16">
        <v>2.4420000000000001E-2</v>
      </c>
      <c r="CA23" s="16">
        <f t="shared" si="4"/>
        <v>407.59020814285708</v>
      </c>
      <c r="CB23" s="9">
        <f t="shared" si="5"/>
        <v>109.77184887608013</v>
      </c>
      <c r="CC23" s="16">
        <f t="shared" si="6"/>
        <v>1.3269369935325486</v>
      </c>
      <c r="CD23" s="16">
        <f t="shared" si="7"/>
        <v>4.3246918960355929</v>
      </c>
      <c r="CE23" s="17">
        <f t="shared" si="8"/>
        <v>115.42347776564826</v>
      </c>
      <c r="CF23" s="9">
        <f t="shared" si="9"/>
        <v>63.549597543047611</v>
      </c>
      <c r="CG23" s="18">
        <v>59012727.272727273</v>
      </c>
      <c r="CH23" s="9">
        <f t="shared" si="11"/>
        <v>319.98187826752599</v>
      </c>
      <c r="CI23" s="9">
        <f t="shared" si="12"/>
        <v>48.18797774121613</v>
      </c>
      <c r="CJ23" s="5">
        <v>0</v>
      </c>
      <c r="CK23" s="5">
        <v>15.74094959663295</v>
      </c>
      <c r="CL23" s="5">
        <v>15.740949596632948</v>
      </c>
    </row>
    <row r="24" spans="1:90" x14ac:dyDescent="0.25">
      <c r="A24" s="2" t="s">
        <v>181</v>
      </c>
      <c r="B24" s="1" t="s">
        <v>22</v>
      </c>
      <c r="C24" s="1" t="s">
        <v>321</v>
      </c>
      <c r="D24" s="1" t="s">
        <v>342</v>
      </c>
      <c r="E24" s="1" t="s">
        <v>337</v>
      </c>
      <c r="F24" s="21">
        <v>16.262194694000002</v>
      </c>
      <c r="G24" s="22">
        <v>2.2571721981800002E-3</v>
      </c>
      <c r="H24" s="22">
        <v>0</v>
      </c>
      <c r="I24" s="22">
        <v>31527640.647500001</v>
      </c>
      <c r="J24" s="22">
        <v>924.40958035000006</v>
      </c>
      <c r="K24" s="22">
        <f t="shared" si="0"/>
        <v>17.591979831973187</v>
      </c>
      <c r="L24" s="22">
        <f t="shared" si="1"/>
        <v>24.417447051180378</v>
      </c>
      <c r="M24" s="22">
        <f t="shared" si="2"/>
        <v>34.10570521733775</v>
      </c>
      <c r="N24" s="21">
        <v>0</v>
      </c>
      <c r="O24" s="21">
        <v>16.262194694000002</v>
      </c>
      <c r="P24" s="22">
        <v>0</v>
      </c>
      <c r="Q24" s="22">
        <v>2.2571721981800002E-3</v>
      </c>
      <c r="R24" s="23">
        <v>0</v>
      </c>
      <c r="S24" s="23">
        <v>0</v>
      </c>
      <c r="T24" s="23">
        <v>0</v>
      </c>
      <c r="U24" s="23">
        <v>10.3637279961</v>
      </c>
      <c r="V24" s="23">
        <v>5.8984668758899996</v>
      </c>
      <c r="W24" s="23">
        <v>0</v>
      </c>
      <c r="X24" s="22">
        <v>0</v>
      </c>
      <c r="Y24" s="22">
        <v>0</v>
      </c>
      <c r="Z24" s="22">
        <v>0</v>
      </c>
      <c r="AA24" s="22">
        <v>9.2182481938599993E-4</v>
      </c>
      <c r="AB24" s="22">
        <v>1.33534738001E-3</v>
      </c>
      <c r="AC24" s="22">
        <v>0</v>
      </c>
      <c r="AD24" s="21">
        <v>0</v>
      </c>
      <c r="AE24" s="21">
        <v>0</v>
      </c>
      <c r="AF24" s="21">
        <v>0</v>
      </c>
      <c r="AG24" s="21">
        <v>0.76601411793499996</v>
      </c>
      <c r="AH24" s="21">
        <v>9.5977138125000003</v>
      </c>
      <c r="AI24" s="21">
        <v>0</v>
      </c>
      <c r="AJ24" s="21">
        <v>0</v>
      </c>
      <c r="AK24" s="21">
        <v>0</v>
      </c>
      <c r="AL24" s="21">
        <v>0</v>
      </c>
      <c r="AM24" s="21">
        <v>0.43597332443199999</v>
      </c>
      <c r="AN24" s="21">
        <v>5.4624935137900001</v>
      </c>
      <c r="AO24" s="21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6.8134827707000008E-5</v>
      </c>
      <c r="AW24" s="22">
        <v>8.5368998951599999E-4</v>
      </c>
      <c r="AX24" s="22">
        <v>0</v>
      </c>
      <c r="AY24" s="22">
        <v>9.8699516843799988E-5</v>
      </c>
      <c r="AZ24" s="22">
        <v>1.2366478528099999E-3</v>
      </c>
      <c r="BA24" s="22">
        <v>0</v>
      </c>
      <c r="BB24" s="7">
        <v>0</v>
      </c>
      <c r="BC24" s="1">
        <v>0</v>
      </c>
      <c r="BD24" s="9">
        <v>0.58899999999999997</v>
      </c>
      <c r="BE24" s="9">
        <v>0.35</v>
      </c>
      <c r="BF24" s="10">
        <v>6.0999999999999999E-2</v>
      </c>
      <c r="BG24" s="11">
        <v>-1.89486775873</v>
      </c>
      <c r="BH24" s="15">
        <v>815</v>
      </c>
      <c r="BI24" s="20">
        <v>1</v>
      </c>
      <c r="BJ24" s="15">
        <v>815</v>
      </c>
      <c r="BK24" s="13">
        <f t="shared" si="13"/>
        <v>0</v>
      </c>
      <c r="BL24" s="13">
        <f t="shared" si="10"/>
        <v>31527640.647500001</v>
      </c>
      <c r="BM24" s="14">
        <v>0</v>
      </c>
      <c r="BN24" s="14">
        <v>100</v>
      </c>
      <c r="BO24" s="16">
        <v>0.958829268292683</v>
      </c>
      <c r="BP24" s="16">
        <v>0.3519219512195122</v>
      </c>
      <c r="BQ24" s="16">
        <v>1.1693500000000003</v>
      </c>
      <c r="BR24" s="16">
        <v>0.27063622222222228</v>
      </c>
      <c r="BS24" s="16">
        <v>0.30011111111111111</v>
      </c>
      <c r="BT24" s="16">
        <v>25.700000000000003</v>
      </c>
      <c r="BU24" s="16">
        <v>19.058888888888891</v>
      </c>
      <c r="BV24" s="16">
        <v>30.011111111111113</v>
      </c>
      <c r="BW24" s="16">
        <f>BT24*4</f>
        <v>102.80000000000001</v>
      </c>
      <c r="BX24" s="16">
        <f>BU24*1.29</f>
        <v>24.585966666666671</v>
      </c>
      <c r="BY24" s="16">
        <f>BV24*1.47</f>
        <v>44.116333333333337</v>
      </c>
      <c r="BZ24" s="16">
        <v>6.4999999999999997E-3</v>
      </c>
      <c r="CA24" s="16">
        <f t="shared" si="4"/>
        <v>69.564392857142863</v>
      </c>
      <c r="CB24" s="9">
        <f t="shared" si="5"/>
        <v>65.999414634146348</v>
      </c>
      <c r="CC24" s="16">
        <f t="shared" si="6"/>
        <v>0.79780987317073182</v>
      </c>
      <c r="CD24" s="16">
        <f t="shared" si="7"/>
        <v>2.6001851707317076</v>
      </c>
      <c r="CE24" s="17">
        <f t="shared" si="8"/>
        <v>69.397409678048788</v>
      </c>
      <c r="CF24" s="9">
        <f t="shared" si="9"/>
        <v>33.432585365853662</v>
      </c>
      <c r="CG24" s="18">
        <v>7636.3636363636369</v>
      </c>
      <c r="CH24" s="9">
        <f t="shared" si="11"/>
        <v>2.3297388949002223E-2</v>
      </c>
      <c r="CI24" s="9">
        <f t="shared" si="12"/>
        <v>2.6261201621534374E-3</v>
      </c>
      <c r="CJ24" s="5">
        <v>59.673600534752246</v>
      </c>
      <c r="CK24" s="5">
        <v>0</v>
      </c>
      <c r="CL24" s="5">
        <v>59.673600534752246</v>
      </c>
    </row>
    <row r="25" spans="1:90" x14ac:dyDescent="0.25">
      <c r="A25" s="2" t="s">
        <v>182</v>
      </c>
      <c r="B25" s="1" t="s">
        <v>23</v>
      </c>
      <c r="C25" s="1" t="s">
        <v>321</v>
      </c>
      <c r="D25" s="1" t="s">
        <v>322</v>
      </c>
      <c r="E25" s="1" t="s">
        <v>323</v>
      </c>
      <c r="F25" s="21">
        <v>0.17257294432199999</v>
      </c>
      <c r="G25" s="22">
        <v>1.1711988498E-5</v>
      </c>
      <c r="H25" s="22">
        <v>0</v>
      </c>
      <c r="I25" s="22">
        <v>260155287.98500001</v>
      </c>
      <c r="J25" s="22">
        <v>25615.5695008</v>
      </c>
      <c r="K25" s="22">
        <f t="shared" si="0"/>
        <v>6.7370332842535607E-3</v>
      </c>
      <c r="L25" s="22">
        <f t="shared" si="1"/>
        <v>4.572214760883697E-3</v>
      </c>
      <c r="M25" s="22">
        <f t="shared" si="2"/>
        <v>10.156139139396261</v>
      </c>
      <c r="N25" s="21">
        <v>0.17257294432199999</v>
      </c>
      <c r="O25" s="21">
        <v>0</v>
      </c>
      <c r="P25" s="22">
        <v>1.1711988498E-5</v>
      </c>
      <c r="Q25" s="22">
        <v>0</v>
      </c>
      <c r="R25" s="23">
        <v>0.12833441015399999</v>
      </c>
      <c r="S25" s="23">
        <v>4.4238534745600001E-2</v>
      </c>
      <c r="T25" s="23">
        <v>0</v>
      </c>
      <c r="U25" s="23">
        <v>0</v>
      </c>
      <c r="V25" s="23">
        <v>0</v>
      </c>
      <c r="W25" s="23">
        <v>0</v>
      </c>
      <c r="X25" s="22">
        <v>1.1414989309199999E-5</v>
      </c>
      <c r="Y25" s="22">
        <v>2.9699919972400001E-7</v>
      </c>
      <c r="Z25" s="22">
        <v>0</v>
      </c>
      <c r="AA25" s="22">
        <v>0</v>
      </c>
      <c r="AB25" s="22">
        <v>0</v>
      </c>
      <c r="AC25" s="22">
        <v>0</v>
      </c>
      <c r="AD25" s="21">
        <v>0</v>
      </c>
      <c r="AE25" s="21">
        <v>0</v>
      </c>
      <c r="AF25" s="21">
        <v>0.12833440992799999</v>
      </c>
      <c r="AG25" s="21">
        <v>0</v>
      </c>
      <c r="AH25" s="21">
        <v>0</v>
      </c>
      <c r="AI25" s="21">
        <v>0</v>
      </c>
      <c r="AJ25" s="21">
        <v>0</v>
      </c>
      <c r="AK25" s="21">
        <v>0</v>
      </c>
      <c r="AL25" s="21">
        <v>4.4238534647300001E-2</v>
      </c>
      <c r="AM25" s="21">
        <v>0</v>
      </c>
      <c r="AN25" s="21">
        <v>0</v>
      </c>
      <c r="AO25" s="21">
        <v>0</v>
      </c>
      <c r="AP25" s="22">
        <v>0</v>
      </c>
      <c r="AQ25" s="22">
        <v>0</v>
      </c>
      <c r="AR25" s="22">
        <v>2.9699920096200002E-7</v>
      </c>
      <c r="AS25" s="22">
        <v>0</v>
      </c>
      <c r="AT25" s="22">
        <v>0</v>
      </c>
      <c r="AU25" s="22">
        <v>1.1414989294700001E-5</v>
      </c>
      <c r="AV25" s="22">
        <v>0</v>
      </c>
      <c r="AW25" s="22">
        <v>0</v>
      </c>
      <c r="AX25" s="22">
        <v>0</v>
      </c>
      <c r="AY25" s="22">
        <v>0</v>
      </c>
      <c r="AZ25" s="22">
        <v>0</v>
      </c>
      <c r="BA25" s="22">
        <v>0</v>
      </c>
      <c r="BB25" s="7">
        <v>4.0734422291299997E-2</v>
      </c>
      <c r="BC25" s="1">
        <v>2.2743386314300001E-6</v>
      </c>
      <c r="BD25" s="9">
        <v>1</v>
      </c>
      <c r="BE25" s="9">
        <v>0</v>
      </c>
      <c r="BF25" s="10">
        <v>0</v>
      </c>
      <c r="BG25" s="11">
        <v>-91.050314955600001</v>
      </c>
      <c r="BH25" s="12">
        <v>24.16890909</v>
      </c>
      <c r="BI25" s="20">
        <v>1</v>
      </c>
      <c r="BJ25" s="15">
        <v>24.16890909</v>
      </c>
      <c r="BK25" s="13">
        <f t="shared" si="13"/>
        <v>8214.2521824717369</v>
      </c>
      <c r="BL25" s="13">
        <f t="shared" si="10"/>
        <v>260147073.73281753</v>
      </c>
      <c r="BM25" s="14">
        <v>3.15744194403819E-3</v>
      </c>
      <c r="BN25" s="14">
        <v>99.99684255805596</v>
      </c>
      <c r="BO25" s="16">
        <v>6.0209236569274266E-2</v>
      </c>
      <c r="BP25" s="16">
        <v>2.2098774740810553E-2</v>
      </c>
      <c r="BQ25" s="16">
        <v>0.27830833333333327</v>
      </c>
      <c r="BR25" s="16">
        <v>2.4518666666666664E-2</v>
      </c>
      <c r="BS25" s="16">
        <v>1.1366666666666669E-2</v>
      </c>
      <c r="BT25" s="16">
        <v>6.1166666666666671</v>
      </c>
      <c r="BU25" s="16">
        <v>1.7266666666666666</v>
      </c>
      <c r="BV25" s="16">
        <v>1.1366666666666667</v>
      </c>
      <c r="BW25" s="16">
        <f>BT25*4</f>
        <v>24.466666666666669</v>
      </c>
      <c r="BX25" s="16">
        <f>BU25*1.29</f>
        <v>2.2273999999999998</v>
      </c>
      <c r="BY25" s="16">
        <f>BV25*1.47</f>
        <v>1.6709000000000001</v>
      </c>
      <c r="BZ25" s="16">
        <v>6.4999999999999997E-3</v>
      </c>
      <c r="CA25" s="16">
        <f t="shared" si="4"/>
        <v>16.556505952380952</v>
      </c>
      <c r="CB25" s="9">
        <f t="shared" si="5"/>
        <v>4.1444024505183785</v>
      </c>
      <c r="CC25" s="16">
        <f t="shared" si="6"/>
        <v>5.0098098774740807E-2</v>
      </c>
      <c r="CD25" s="16">
        <f t="shared" si="7"/>
        <v>0.16327741470311027</v>
      </c>
      <c r="CE25" s="17">
        <f t="shared" si="8"/>
        <v>4.3577779639962291</v>
      </c>
      <c r="CF25" s="9">
        <f t="shared" si="9"/>
        <v>2.0993836003770028</v>
      </c>
      <c r="CG25" s="18">
        <v>157027.27272727274</v>
      </c>
      <c r="CH25" s="9">
        <f t="shared" si="11"/>
        <v>6.2261577124476622E-2</v>
      </c>
      <c r="CI25" s="9">
        <f t="shared" si="12"/>
        <v>8.0678468022748039E-3</v>
      </c>
      <c r="CJ25" s="5">
        <v>0</v>
      </c>
      <c r="CK25" s="5">
        <v>0</v>
      </c>
      <c r="CL25" s="5">
        <v>0</v>
      </c>
    </row>
    <row r="26" spans="1:90" x14ac:dyDescent="0.25">
      <c r="A26" s="2" t="s">
        <v>183</v>
      </c>
      <c r="B26" s="1" t="s">
        <v>24</v>
      </c>
      <c r="C26" s="1" t="s">
        <v>327</v>
      </c>
      <c r="D26" s="1" t="s">
        <v>341</v>
      </c>
      <c r="E26" s="1" t="s">
        <v>331</v>
      </c>
      <c r="F26" s="21">
        <v>84.2172789145</v>
      </c>
      <c r="G26" s="22">
        <v>8.0047405158999996E-3</v>
      </c>
      <c r="H26" s="22">
        <v>0</v>
      </c>
      <c r="I26" s="22">
        <v>47409445.253799997</v>
      </c>
      <c r="J26" s="22">
        <v>4408.7540207800002</v>
      </c>
      <c r="K26" s="22">
        <f t="shared" si="0"/>
        <v>19.102285706472735</v>
      </c>
      <c r="L26" s="22">
        <f t="shared" si="1"/>
        <v>18.15646887572057</v>
      </c>
      <c r="M26" s="22">
        <f t="shared" si="2"/>
        <v>10.753479334601725</v>
      </c>
      <c r="N26" s="21">
        <v>42.088455686800003</v>
      </c>
      <c r="O26" s="21">
        <v>42.128823174600001</v>
      </c>
      <c r="P26" s="22">
        <v>3.9676968188599995E-3</v>
      </c>
      <c r="Q26" s="22">
        <v>4.0370437349499999E-3</v>
      </c>
      <c r="R26" s="23">
        <v>40.904788672199999</v>
      </c>
      <c r="S26" s="23">
        <v>1.1836673493700001</v>
      </c>
      <c r="T26" s="23">
        <v>0</v>
      </c>
      <c r="U26" s="23">
        <v>40.597754503899999</v>
      </c>
      <c r="V26" s="23">
        <v>1.53106847653</v>
      </c>
      <c r="W26" s="23">
        <v>0</v>
      </c>
      <c r="X26" s="22">
        <v>3.6383673167600002E-3</v>
      </c>
      <c r="Y26" s="22">
        <v>3.2932948146999999E-4</v>
      </c>
      <c r="Z26" s="22">
        <v>0</v>
      </c>
      <c r="AA26" s="22">
        <v>3.6110574773500002E-3</v>
      </c>
      <c r="AB26" s="22">
        <v>4.2598622624699997E-4</v>
      </c>
      <c r="AC26" s="22">
        <v>0</v>
      </c>
      <c r="AD26" s="21">
        <v>6.5514894165799999</v>
      </c>
      <c r="AE26" s="21">
        <v>29.543906156199998</v>
      </c>
      <c r="AF26" s="21">
        <v>4.8093930698199996</v>
      </c>
      <c r="AG26" s="21">
        <v>4.9525798833499994</v>
      </c>
      <c r="AH26" s="21">
        <v>35.645174502400003</v>
      </c>
      <c r="AI26" s="21">
        <v>0</v>
      </c>
      <c r="AJ26" s="21">
        <v>0.18808810613999999</v>
      </c>
      <c r="AK26" s="21">
        <v>0.85791995651700004</v>
      </c>
      <c r="AL26" s="21">
        <v>0.13765929127900001</v>
      </c>
      <c r="AM26" s="21">
        <v>0.186777300521</v>
      </c>
      <c r="AN26" s="21">
        <v>1.3442912</v>
      </c>
      <c r="AO26" s="21">
        <v>0</v>
      </c>
      <c r="AP26" s="22">
        <v>5.23313902714E-5</v>
      </c>
      <c r="AQ26" s="22">
        <v>2.3869741280500002E-4</v>
      </c>
      <c r="AR26" s="22">
        <v>3.8300678665899997E-5</v>
      </c>
      <c r="AS26" s="22">
        <v>5.8273678393299993E-4</v>
      </c>
      <c r="AT26" s="22">
        <v>2.6278483948600001E-3</v>
      </c>
      <c r="AU26" s="22">
        <v>4.2778215355199998E-4</v>
      </c>
      <c r="AV26" s="22">
        <v>4.4051822316100003E-4</v>
      </c>
      <c r="AW26" s="22">
        <v>3.1705392641199997E-3</v>
      </c>
      <c r="AX26" s="22">
        <v>0</v>
      </c>
      <c r="AY26" s="22">
        <v>5.1966687212499997E-5</v>
      </c>
      <c r="AZ26" s="22">
        <v>3.7401954132899997E-4</v>
      </c>
      <c r="BA26" s="22">
        <v>0</v>
      </c>
      <c r="BB26" s="7">
        <v>8.8507141470900006</v>
      </c>
      <c r="BC26" s="1">
        <v>2.9994087505300001E-4</v>
      </c>
      <c r="BD26" s="9">
        <v>0.158</v>
      </c>
      <c r="BE26" s="9">
        <v>0.64600000000000002</v>
      </c>
      <c r="BF26" s="10">
        <v>0.19600000000000001</v>
      </c>
      <c r="BG26" s="11">
        <v>-25.421585812299998</v>
      </c>
      <c r="BH26" s="15">
        <v>1993.4444444444443</v>
      </c>
      <c r="BI26" s="20">
        <v>0.50245746691871451</v>
      </c>
      <c r="BJ26" s="15">
        <v>1001.6210459987396</v>
      </c>
      <c r="BK26" s="13">
        <f t="shared" si="13"/>
        <v>9812741.6219586954</v>
      </c>
      <c r="BL26" s="13">
        <f t="shared" si="10"/>
        <v>37596703.631841294</v>
      </c>
      <c r="BM26" s="14">
        <v>20.697862144194097</v>
      </c>
      <c r="BN26" s="14">
        <v>79.302137855805896</v>
      </c>
      <c r="BO26" s="16">
        <v>3.0889978001169558</v>
      </c>
      <c r="BP26" s="16">
        <v>1.1337640277352343</v>
      </c>
      <c r="BQ26" s="16">
        <v>1.72137875</v>
      </c>
      <c r="BR26" s="16">
        <v>2.9713500000000004E-2</v>
      </c>
      <c r="BS26" s="16">
        <v>1.7675E-2</v>
      </c>
      <c r="BT26" s="16">
        <v>37.832499999999996</v>
      </c>
      <c r="BU26" s="16">
        <v>2.0925000000000002</v>
      </c>
      <c r="BV26" s="16">
        <v>1.7675000000000001</v>
      </c>
      <c r="BW26" s="16">
        <f>BT26*5.66</f>
        <v>214.13194999999999</v>
      </c>
      <c r="BX26" s="16">
        <f>BU26*1.36</f>
        <v>2.8458000000000006</v>
      </c>
      <c r="BY26" s="16">
        <f>BV26*1.36</f>
        <v>2.4038000000000004</v>
      </c>
      <c r="BZ26" s="16">
        <v>2.96E-3</v>
      </c>
      <c r="CA26" s="16">
        <f t="shared" si="4"/>
        <v>46.633420428571426</v>
      </c>
      <c r="CB26" s="9">
        <f t="shared" si="5"/>
        <v>212.62601524138378</v>
      </c>
      <c r="CC26" s="16">
        <f t="shared" si="6"/>
        <v>2.5702521028839822</v>
      </c>
      <c r="CD26" s="16">
        <f t="shared" si="7"/>
        <v>8.3768472009504986</v>
      </c>
      <c r="CE26" s="17">
        <f t="shared" si="8"/>
        <v>223.57311454521826</v>
      </c>
      <c r="CF26" s="9">
        <f t="shared" si="9"/>
        <v>107.70758263484726</v>
      </c>
      <c r="CG26" s="18">
        <v>243909.09090909091</v>
      </c>
      <c r="CH26" s="9">
        <f t="shared" si="11"/>
        <v>1.4613884105343113</v>
      </c>
      <c r="CI26" s="9">
        <f t="shared" si="12"/>
        <v>0.14568584329036116</v>
      </c>
      <c r="CJ26" s="5">
        <v>68.192353066812288</v>
      </c>
      <c r="CK26" s="5">
        <v>36.272207360217898</v>
      </c>
      <c r="CL26" s="5">
        <v>79.729688718824136</v>
      </c>
    </row>
    <row r="27" spans="1:90" x14ac:dyDescent="0.25">
      <c r="A27" s="2" t="s">
        <v>184</v>
      </c>
      <c r="B27" s="1" t="s">
        <v>25</v>
      </c>
      <c r="C27" s="1" t="s">
        <v>332</v>
      </c>
      <c r="D27" s="1" t="s">
        <v>346</v>
      </c>
      <c r="E27" s="1" t="s">
        <v>346</v>
      </c>
      <c r="F27" s="21">
        <v>4349.4810835600001</v>
      </c>
      <c r="G27" s="22">
        <v>0.36376445476800001</v>
      </c>
      <c r="H27" s="22">
        <v>4.5436045198800001E-5</v>
      </c>
      <c r="I27" s="22">
        <v>2999167930.46</v>
      </c>
      <c r="J27" s="22">
        <v>1214510.8162499999</v>
      </c>
      <c r="K27" s="22">
        <f t="shared" si="0"/>
        <v>3.5812617107764684</v>
      </c>
      <c r="L27" s="22">
        <f t="shared" si="1"/>
        <v>2.9951520390010362</v>
      </c>
      <c r="M27" s="22">
        <f t="shared" si="2"/>
        <v>2.4694452205213122</v>
      </c>
      <c r="N27" s="21">
        <v>877.73949323900001</v>
      </c>
      <c r="O27" s="21">
        <v>3471.7415832900001</v>
      </c>
      <c r="P27" s="22">
        <v>7.14848708789E-2</v>
      </c>
      <c r="Q27" s="22">
        <v>0.29227958396000003</v>
      </c>
      <c r="R27" s="23">
        <v>661.89708163399996</v>
      </c>
      <c r="S27" s="23">
        <v>215.839083241</v>
      </c>
      <c r="T27" s="23">
        <v>0</v>
      </c>
      <c r="U27" s="23">
        <v>2930.3956971100001</v>
      </c>
      <c r="V27" s="23">
        <v>541.34266235500002</v>
      </c>
      <c r="W27" s="23">
        <v>0</v>
      </c>
      <c r="X27" s="22">
        <v>5.8873906757899996E-2</v>
      </c>
      <c r="Y27" s="22">
        <v>1.2610745304800001E-2</v>
      </c>
      <c r="Z27" s="22">
        <v>0</v>
      </c>
      <c r="AA27" s="22">
        <v>0.26065055685600003</v>
      </c>
      <c r="AB27" s="22">
        <v>3.1628814922800001E-2</v>
      </c>
      <c r="AC27" s="22">
        <v>0</v>
      </c>
      <c r="AD27" s="21">
        <v>3.17964189432</v>
      </c>
      <c r="AE27" s="21">
        <v>576.639784212</v>
      </c>
      <c r="AF27" s="21">
        <v>82.077655789900007</v>
      </c>
      <c r="AG27" s="21">
        <v>11.917687665100001</v>
      </c>
      <c r="AH27" s="21">
        <v>2918.4780015199999</v>
      </c>
      <c r="AI27" s="21">
        <v>0</v>
      </c>
      <c r="AJ27" s="21">
        <v>1.0098964152600001</v>
      </c>
      <c r="AK27" s="21">
        <v>189.057462104</v>
      </c>
      <c r="AL27" s="21">
        <v>25.771724714099999</v>
      </c>
      <c r="AM27" s="21">
        <v>2.20159781544</v>
      </c>
      <c r="AN27" s="21">
        <v>539.14106388200003</v>
      </c>
      <c r="AO27" s="21">
        <v>0</v>
      </c>
      <c r="AP27" s="22">
        <v>5.9004820959900002E-5</v>
      </c>
      <c r="AQ27" s="22">
        <v>1.1045986045100001E-2</v>
      </c>
      <c r="AR27" s="22">
        <v>1.5057544316900001E-3</v>
      </c>
      <c r="AS27" s="22">
        <v>2.8282031445399998E-4</v>
      </c>
      <c r="AT27" s="22">
        <v>5.1290507055800003E-2</v>
      </c>
      <c r="AU27" s="22">
        <v>7.3005794777E-3</v>
      </c>
      <c r="AV27" s="22">
        <v>1.0600452125599999E-3</v>
      </c>
      <c r="AW27" s="22">
        <v>0.25959051183300003</v>
      </c>
      <c r="AX27" s="22">
        <v>0</v>
      </c>
      <c r="AY27" s="22">
        <v>1.2863189055199999E-4</v>
      </c>
      <c r="AZ27" s="22">
        <v>3.1500183085099998E-2</v>
      </c>
      <c r="BA27" s="22">
        <v>0</v>
      </c>
      <c r="BB27" s="7">
        <v>14881.499013299999</v>
      </c>
      <c r="BC27" s="1">
        <v>7.8541244889600001E-2</v>
      </c>
      <c r="BD27" s="9">
        <v>0.20799999999999999</v>
      </c>
      <c r="BE27" s="9">
        <v>0.78500000000000003</v>
      </c>
      <c r="BF27" s="10">
        <v>7.0000000000000001E-3</v>
      </c>
      <c r="BG27" s="11">
        <v>-21.051915283700001</v>
      </c>
      <c r="BH27" s="15">
        <v>201.44444444444446</v>
      </c>
      <c r="BI27" s="20">
        <v>1.0441379310344827</v>
      </c>
      <c r="BJ27" s="15">
        <v>210.33578544061302</v>
      </c>
      <c r="BK27" s="13">
        <f t="shared" si="13"/>
        <v>275250336.10123461</v>
      </c>
      <c r="BL27" s="13">
        <f t="shared" si="10"/>
        <v>2723917594.3587656</v>
      </c>
      <c r="BM27" s="14">
        <v>9.1775566584902055</v>
      </c>
      <c r="BN27" s="14">
        <v>90.822443341509796</v>
      </c>
      <c r="BO27" s="16">
        <v>3.1727541667363668</v>
      </c>
      <c r="BP27" s="16">
        <v>1.7467580632251865</v>
      </c>
      <c r="BQ27" s="16">
        <v>1.9895081818181821</v>
      </c>
      <c r="BR27" s="16">
        <v>0.23028527272727273</v>
      </c>
      <c r="BS27" s="16">
        <v>7.2263636363636377E-2</v>
      </c>
      <c r="BT27" s="16">
        <v>43.725454545454539</v>
      </c>
      <c r="BU27" s="16">
        <v>16.217272727272729</v>
      </c>
      <c r="BV27" s="16">
        <v>7.2263636363636374</v>
      </c>
      <c r="BW27" s="16">
        <f>BT27*5.66</f>
        <v>247.4860727272727</v>
      </c>
      <c r="BX27" s="16">
        <f>BU27*1.36</f>
        <v>22.055490909090913</v>
      </c>
      <c r="BY27" s="16">
        <f>BV27*1.36</f>
        <v>9.8278545454545476</v>
      </c>
      <c r="BZ27" s="16">
        <v>1.059E-2</v>
      </c>
      <c r="CA27" s="16">
        <f t="shared" si="4"/>
        <v>192.82831757142856</v>
      </c>
      <c r="CB27" s="9">
        <f t="shared" si="5"/>
        <v>218.39124514368658</v>
      </c>
      <c r="CC27" s="16">
        <f t="shared" si="6"/>
        <v>2.6399429836691066</v>
      </c>
      <c r="CD27" s="16">
        <f t="shared" si="7"/>
        <v>8.6039805078279041</v>
      </c>
      <c r="CE27" s="17">
        <f t="shared" si="8"/>
        <v>229.63516863518359</v>
      </c>
      <c r="CF27" s="9">
        <f t="shared" si="9"/>
        <v>165.94201600639272</v>
      </c>
      <c r="CG27" s="18">
        <v>39695741.890909091</v>
      </c>
      <c r="CH27" s="9">
        <f t="shared" si="11"/>
        <v>286.26859438967966</v>
      </c>
      <c r="CI27" s="9">
        <f t="shared" si="12"/>
        <v>34.446969259397072</v>
      </c>
      <c r="CJ27" s="5">
        <v>0</v>
      </c>
      <c r="CK27" s="5">
        <v>9.6041083332505206</v>
      </c>
      <c r="CL27" s="5">
        <v>9.6041083332505153</v>
      </c>
    </row>
    <row r="28" spans="1:90" x14ac:dyDescent="0.25">
      <c r="A28" s="2" t="s">
        <v>185</v>
      </c>
      <c r="B28" s="1" t="s">
        <v>26</v>
      </c>
      <c r="C28" s="1" t="s">
        <v>324</v>
      </c>
      <c r="D28" s="1" t="s">
        <v>326</v>
      </c>
      <c r="E28" s="1" t="s">
        <v>326</v>
      </c>
      <c r="F28" s="21">
        <v>93.885526068499999</v>
      </c>
      <c r="G28" s="22">
        <v>5.6514330302099994E-3</v>
      </c>
      <c r="H28" s="22">
        <v>7.7203601598700003E-8</v>
      </c>
      <c r="I28" s="22">
        <v>60227820.999499999</v>
      </c>
      <c r="J28" s="22">
        <v>55126.793338199997</v>
      </c>
      <c r="K28" s="22">
        <f t="shared" si="0"/>
        <v>1.7030833898231157</v>
      </c>
      <c r="L28" s="22">
        <f t="shared" si="1"/>
        <v>1.0251699197409785</v>
      </c>
      <c r="M28" s="22">
        <f t="shared" si="2"/>
        <v>1.0925326388931327</v>
      </c>
      <c r="N28" s="21">
        <v>46.401412998399998</v>
      </c>
      <c r="O28" s="21">
        <v>47.4841126958</v>
      </c>
      <c r="P28" s="22">
        <v>2.7536902442199997E-3</v>
      </c>
      <c r="Q28" s="22">
        <v>2.89774275347E-3</v>
      </c>
      <c r="R28" s="23">
        <v>21.556995637299998</v>
      </c>
      <c r="S28" s="23">
        <v>24.844417375900001</v>
      </c>
      <c r="T28" s="23">
        <v>0</v>
      </c>
      <c r="U28" s="23">
        <v>23.503350938600001</v>
      </c>
      <c r="V28" s="23">
        <v>23.980761759</v>
      </c>
      <c r="W28" s="23">
        <v>0</v>
      </c>
      <c r="X28" s="22">
        <v>1.9174348832799999E-3</v>
      </c>
      <c r="Y28" s="22">
        <v>8.3625535709899994E-4</v>
      </c>
      <c r="Z28" s="22">
        <v>0</v>
      </c>
      <c r="AA28" s="22">
        <v>2.09055779617E-3</v>
      </c>
      <c r="AB28" s="22">
        <v>8.0718497146299996E-4</v>
      </c>
      <c r="AC28" s="22">
        <v>0</v>
      </c>
      <c r="AD28" s="21">
        <v>0.27121150926000004</v>
      </c>
      <c r="AE28" s="21">
        <v>21.062835614000001</v>
      </c>
      <c r="AF28" s="21">
        <v>0.22294848399199999</v>
      </c>
      <c r="AG28" s="21">
        <v>0.176204525739</v>
      </c>
      <c r="AH28" s="21">
        <v>23.327146534699999</v>
      </c>
      <c r="AI28" s="21">
        <v>0</v>
      </c>
      <c r="AJ28" s="21">
        <v>0.31623286403299999</v>
      </c>
      <c r="AK28" s="21">
        <v>24.2670198824</v>
      </c>
      <c r="AL28" s="21">
        <v>0.26116457138400001</v>
      </c>
      <c r="AM28" s="21">
        <v>0.17978367060300002</v>
      </c>
      <c r="AN28" s="21">
        <v>23.800978069699998</v>
      </c>
      <c r="AO28" s="21">
        <v>0</v>
      </c>
      <c r="AP28" s="22">
        <v>1.06442997182E-5</v>
      </c>
      <c r="AQ28" s="22">
        <v>8.1682033776699992E-4</v>
      </c>
      <c r="AR28" s="22">
        <v>8.7907182326400008E-6</v>
      </c>
      <c r="AS28" s="22">
        <v>2.4123510515599998E-5</v>
      </c>
      <c r="AT28" s="22">
        <v>1.87348072543E-3</v>
      </c>
      <c r="AU28" s="22">
        <v>1.98306483842E-5</v>
      </c>
      <c r="AV28" s="22">
        <v>1.5672903009599999E-5</v>
      </c>
      <c r="AW28" s="22">
        <v>2.0748848803699999E-3</v>
      </c>
      <c r="AX28" s="22">
        <v>0</v>
      </c>
      <c r="AY28" s="22">
        <v>6.0514623707699996E-6</v>
      </c>
      <c r="AZ28" s="22">
        <v>8.0113350949600007E-4</v>
      </c>
      <c r="BA28" s="22">
        <v>0</v>
      </c>
      <c r="BB28" s="7">
        <v>143.099888932</v>
      </c>
      <c r="BC28" s="1">
        <v>2.2657482217000001E-3</v>
      </c>
      <c r="BD28" s="9">
        <v>1.4E-2</v>
      </c>
      <c r="BE28" s="9">
        <v>0.97</v>
      </c>
      <c r="BF28" s="10">
        <v>1.6E-2</v>
      </c>
      <c r="BG28" s="11">
        <v>-54.833309467299998</v>
      </c>
      <c r="BH28" s="15">
        <v>28.555555555555557</v>
      </c>
      <c r="BI28" s="20">
        <v>4.2434782608695647</v>
      </c>
      <c r="BJ28" s="15">
        <v>121.17487922705313</v>
      </c>
      <c r="BK28" s="13">
        <f t="shared" si="13"/>
        <v>14939357.105488697</v>
      </c>
      <c r="BL28" s="13">
        <f t="shared" si="10"/>
        <v>45288463.894011311</v>
      </c>
      <c r="BM28" s="14">
        <v>24.80474448114721</v>
      </c>
      <c r="BN28" s="14">
        <v>75.19525551885279</v>
      </c>
      <c r="BO28" s="16">
        <v>27.651702797743258</v>
      </c>
      <c r="BP28" s="16">
        <v>11.598956024422289</v>
      </c>
      <c r="BQ28" s="16">
        <v>5.2177331818181818</v>
      </c>
      <c r="BR28" s="16">
        <v>0.50355781818181822</v>
      </c>
      <c r="BS28" s="16">
        <v>0.55797272727272718</v>
      </c>
      <c r="BT28" s="5">
        <v>114.67545454545453</v>
      </c>
      <c r="BU28" s="5">
        <v>35.461818181818181</v>
      </c>
      <c r="BV28" s="5">
        <v>55.797272727272713</v>
      </c>
      <c r="BW28" s="16">
        <f>BT28*5.62</f>
        <v>644.47605454545442</v>
      </c>
      <c r="BX28" s="16">
        <f>BU28*1.47</f>
        <v>52.128872727272729</v>
      </c>
      <c r="BY28" s="16">
        <f>BV28*1.45</f>
        <v>80.906045454545435</v>
      </c>
      <c r="BZ28" s="16">
        <v>7.1999999999999998E-3</v>
      </c>
      <c r="CA28" s="16">
        <f t="shared" si="4"/>
        <v>343.82977714285704</v>
      </c>
      <c r="CB28" s="9">
        <f t="shared" si="5"/>
        <v>1903.3588759113275</v>
      </c>
      <c r="CC28" s="16">
        <f t="shared" si="6"/>
        <v>23.008060174575576</v>
      </c>
      <c r="CD28" s="16">
        <f t="shared" si="7"/>
        <v>74.986809370346762</v>
      </c>
      <c r="CE28" s="17">
        <f t="shared" si="8"/>
        <v>2001.3537454562497</v>
      </c>
      <c r="CF28" s="9">
        <f t="shared" si="9"/>
        <v>1101.9008223201174</v>
      </c>
      <c r="CG28" s="18">
        <v>430581.81818181823</v>
      </c>
      <c r="CH28" s="9">
        <f t="shared" si="11"/>
        <v>19.604356833014499</v>
      </c>
      <c r="CI28" s="9">
        <f t="shared" si="12"/>
        <v>1.8190339329546243</v>
      </c>
      <c r="CJ28" s="5">
        <v>0</v>
      </c>
      <c r="CK28" s="5">
        <v>22.166643777100152</v>
      </c>
      <c r="CL28" s="5">
        <v>22.166643777100148</v>
      </c>
    </row>
    <row r="29" spans="1:90" x14ac:dyDescent="0.25">
      <c r="A29" s="2" t="s">
        <v>186</v>
      </c>
      <c r="B29" s="1" t="s">
        <v>27</v>
      </c>
      <c r="C29" s="1" t="s">
        <v>334</v>
      </c>
      <c r="D29" s="1" t="s">
        <v>334</v>
      </c>
      <c r="E29" s="1" t="s">
        <v>339</v>
      </c>
      <c r="F29" s="21">
        <v>9329.4519508899994</v>
      </c>
      <c r="G29" s="22">
        <v>0.84428917386900004</v>
      </c>
      <c r="H29" s="22">
        <v>8.4353931806200005E-4</v>
      </c>
      <c r="I29" s="22">
        <v>22043528572.700001</v>
      </c>
      <c r="J29" s="22">
        <v>1931070.5313500001</v>
      </c>
      <c r="K29" s="22">
        <f t="shared" si="0"/>
        <v>4.8312331421513814</v>
      </c>
      <c r="L29" s="22">
        <f t="shared" si="1"/>
        <v>4.3721301742343011</v>
      </c>
      <c r="M29" s="22">
        <f t="shared" si="2"/>
        <v>11.415185626228526</v>
      </c>
      <c r="N29" s="21">
        <v>4170.1431128599997</v>
      </c>
      <c r="O29" s="21">
        <v>5159.3088624000002</v>
      </c>
      <c r="P29" s="22">
        <v>0.37791911721599997</v>
      </c>
      <c r="Q29" s="22">
        <v>0.46637005883400001</v>
      </c>
      <c r="R29" s="23">
        <v>3434.4134691700001</v>
      </c>
      <c r="S29" s="23">
        <v>735.72963837400005</v>
      </c>
      <c r="T29" s="23">
        <v>0</v>
      </c>
      <c r="U29" s="23">
        <v>4374.4290925400001</v>
      </c>
      <c r="V29" s="23">
        <v>784.87976266299995</v>
      </c>
      <c r="W29" s="23">
        <v>0</v>
      </c>
      <c r="X29" s="22">
        <v>0.30548153682699997</v>
      </c>
      <c r="Y29" s="22">
        <v>7.2437578133899991E-2</v>
      </c>
      <c r="Z29" s="22">
        <v>0</v>
      </c>
      <c r="AA29" s="22">
        <v>0.38909331749199999</v>
      </c>
      <c r="AB29" s="22">
        <v>7.7276741933599999E-2</v>
      </c>
      <c r="AC29" s="22">
        <v>0</v>
      </c>
      <c r="AD29" s="21">
        <v>781.67971656400005</v>
      </c>
      <c r="AE29" s="21">
        <v>216.626500107</v>
      </c>
      <c r="AF29" s="21">
        <v>2436.1072505799998</v>
      </c>
      <c r="AG29" s="21">
        <v>2907.2210697699998</v>
      </c>
      <c r="AH29" s="21">
        <v>1467.20802615</v>
      </c>
      <c r="AI29" s="21">
        <v>0</v>
      </c>
      <c r="AJ29" s="21">
        <v>168.02189868799999</v>
      </c>
      <c r="AK29" s="21">
        <v>45.979659867700001</v>
      </c>
      <c r="AL29" s="21">
        <v>521.728078579</v>
      </c>
      <c r="AM29" s="21">
        <v>521.62669337</v>
      </c>
      <c r="AN29" s="21">
        <v>263.25306981799997</v>
      </c>
      <c r="AO29" s="21">
        <v>0</v>
      </c>
      <c r="AP29" s="22">
        <v>1.6542896893800001E-2</v>
      </c>
      <c r="AQ29" s="22">
        <v>4.5270097137399996E-3</v>
      </c>
      <c r="AR29" s="22">
        <v>5.1367671950199999E-2</v>
      </c>
      <c r="AS29" s="22">
        <v>6.9528239600600006E-2</v>
      </c>
      <c r="AT29" s="22">
        <v>1.92683255156E-2</v>
      </c>
      <c r="AU29" s="22">
        <v>0.216684973275</v>
      </c>
      <c r="AV29" s="22">
        <v>0.258589238577</v>
      </c>
      <c r="AW29" s="22">
        <v>0.13050407846699999</v>
      </c>
      <c r="AX29" s="22">
        <v>0</v>
      </c>
      <c r="AY29" s="22">
        <v>5.1357689735499999E-2</v>
      </c>
      <c r="AZ29" s="22">
        <v>2.5919052234299998E-2</v>
      </c>
      <c r="BA29" s="22">
        <v>0</v>
      </c>
      <c r="BB29" s="7">
        <v>1013.13539678</v>
      </c>
      <c r="BC29" s="1">
        <v>1.9981281364400003E-2</v>
      </c>
      <c r="BD29" s="9">
        <v>0.72299999999999998</v>
      </c>
      <c r="BE29" s="9">
        <v>5.1999999999999998E-2</v>
      </c>
      <c r="BF29" s="10">
        <v>0.22500000000000001</v>
      </c>
      <c r="BG29" s="11">
        <v>-53.405866932599999</v>
      </c>
      <c r="BH29" s="15">
        <v>354.44444444444446</v>
      </c>
      <c r="BI29" s="20">
        <v>1</v>
      </c>
      <c r="BJ29" s="15">
        <v>354.44444444444446</v>
      </c>
      <c r="BK29" s="13">
        <f t="shared" si="13"/>
        <v>1001426149.4451382</v>
      </c>
      <c r="BL29" s="13">
        <f t="shared" si="10"/>
        <v>21042102423.254868</v>
      </c>
      <c r="BM29" s="14">
        <v>4.5429484945770575</v>
      </c>
      <c r="BN29" s="14">
        <v>95.457051505422953</v>
      </c>
      <c r="BO29" s="16">
        <v>3.3195774647887326</v>
      </c>
      <c r="BP29" s="16">
        <v>1.392450704225352</v>
      </c>
      <c r="BQ29" s="16">
        <v>7.0077859090909103</v>
      </c>
      <c r="BR29" s="16">
        <v>1.1213094545454543</v>
      </c>
      <c r="BS29" s="16">
        <v>0.48365454545454545</v>
      </c>
      <c r="BT29" s="16">
        <v>154.01727272727274</v>
      </c>
      <c r="BU29" s="16">
        <v>78.965454545454548</v>
      </c>
      <c r="BV29" s="16">
        <v>48.365454545454554</v>
      </c>
      <c r="BW29" s="16">
        <f>BT29*3.53</f>
        <v>543.68097272727277</v>
      </c>
      <c r="BX29" s="16">
        <f>BU29*0.54</f>
        <v>42.641345454545458</v>
      </c>
      <c r="BY29" s="16">
        <f>BV29*1.02</f>
        <v>49.332763636363644</v>
      </c>
      <c r="BZ29" s="16">
        <v>2.4420000000000001E-2</v>
      </c>
      <c r="CA29" s="16">
        <f t="shared" si="4"/>
        <v>1566.2302495714287</v>
      </c>
      <c r="CB29" s="9">
        <f t="shared" si="5"/>
        <v>228.49758215962441</v>
      </c>
      <c r="CC29" s="16">
        <f t="shared" si="6"/>
        <v>2.7621097558685448</v>
      </c>
      <c r="CD29" s="16">
        <f t="shared" si="7"/>
        <v>9.002140821596246</v>
      </c>
      <c r="CE29" s="17">
        <f t="shared" si="8"/>
        <v>240.26183273708921</v>
      </c>
      <c r="CF29" s="9">
        <f t="shared" si="9"/>
        <v>132.28281690140844</v>
      </c>
      <c r="CG29" s="18">
        <v>1895727.2727272727</v>
      </c>
      <c r="CH29" s="9">
        <f t="shared" si="11"/>
        <v>25.260145205702134</v>
      </c>
      <c r="CI29" s="9">
        <f t="shared" si="12"/>
        <v>4.8804171267617393</v>
      </c>
      <c r="CJ29" s="5">
        <v>52.267603944810567</v>
      </c>
      <c r="CK29" s="5">
        <v>0</v>
      </c>
      <c r="CL29" s="5">
        <v>52.267603944810567</v>
      </c>
    </row>
    <row r="30" spans="1:90" x14ac:dyDescent="0.25">
      <c r="A30" s="2" t="s">
        <v>187</v>
      </c>
      <c r="B30" s="1" t="s">
        <v>28</v>
      </c>
      <c r="C30" s="1" t="s">
        <v>321</v>
      </c>
      <c r="D30" s="1" t="s">
        <v>347</v>
      </c>
      <c r="E30" s="1" t="s">
        <v>348</v>
      </c>
      <c r="F30" s="21">
        <v>299035.64757799997</v>
      </c>
      <c r="G30" s="22">
        <v>34.954744898900003</v>
      </c>
      <c r="H30" s="22">
        <v>0.35797767073200004</v>
      </c>
      <c r="I30" s="22">
        <v>328938568986</v>
      </c>
      <c r="J30" s="22">
        <v>61619922.506700002</v>
      </c>
      <c r="K30" s="22">
        <f t="shared" si="0"/>
        <v>4.8529052847394532</v>
      </c>
      <c r="L30" s="22">
        <f t="shared" si="1"/>
        <v>5.672636945478037</v>
      </c>
      <c r="M30" s="22">
        <f t="shared" si="2"/>
        <v>5.3381853725998134</v>
      </c>
      <c r="N30" s="21">
        <v>283736.38074599998</v>
      </c>
      <c r="O30" s="21">
        <v>15299.2667196</v>
      </c>
      <c r="P30" s="22">
        <v>33.153258878499997</v>
      </c>
      <c r="Q30" s="22">
        <v>1.80148598258</v>
      </c>
      <c r="R30" s="23">
        <v>228317.276117</v>
      </c>
      <c r="S30" s="23">
        <v>55419.104522299996</v>
      </c>
      <c r="T30" s="23">
        <v>0</v>
      </c>
      <c r="U30" s="23">
        <v>12214.141784900001</v>
      </c>
      <c r="V30" s="23">
        <v>3085.1249276499998</v>
      </c>
      <c r="W30" s="23">
        <v>0</v>
      </c>
      <c r="X30" s="22">
        <v>20.308187504299998</v>
      </c>
      <c r="Y30" s="22">
        <v>12.845071372300001</v>
      </c>
      <c r="Z30" s="22">
        <v>0</v>
      </c>
      <c r="AA30" s="22">
        <v>1.0864139833200002</v>
      </c>
      <c r="AB30" s="22">
        <v>0.71507199877299998</v>
      </c>
      <c r="AC30" s="22">
        <v>0</v>
      </c>
      <c r="AD30" s="21">
        <v>1796.56444953</v>
      </c>
      <c r="AE30" s="21">
        <v>10794.0717539</v>
      </c>
      <c r="AF30" s="21">
        <v>215726.63989399999</v>
      </c>
      <c r="AG30" s="21">
        <v>1329.2319153199999</v>
      </c>
      <c r="AH30" s="21">
        <v>10884.909870399999</v>
      </c>
      <c r="AI30" s="21">
        <v>0</v>
      </c>
      <c r="AJ30" s="21">
        <v>459.716305981</v>
      </c>
      <c r="AK30" s="21">
        <v>2719.1764298000003</v>
      </c>
      <c r="AL30" s="21">
        <v>52240.211799699995</v>
      </c>
      <c r="AM30" s="21">
        <v>335.74577625000001</v>
      </c>
      <c r="AN30" s="21">
        <v>2749.3791521500002</v>
      </c>
      <c r="AO30" s="21">
        <v>0</v>
      </c>
      <c r="AP30" s="22">
        <v>0.106553305137</v>
      </c>
      <c r="AQ30" s="22">
        <v>0.63025224975799998</v>
      </c>
      <c r="AR30" s="22">
        <v>12.108265816199999</v>
      </c>
      <c r="AS30" s="22">
        <v>0.15979941737200001</v>
      </c>
      <c r="AT30" s="22">
        <v>0.96010269933199999</v>
      </c>
      <c r="AU30" s="22">
        <v>19.188285391499999</v>
      </c>
      <c r="AV30" s="22">
        <v>0.11823148652899999</v>
      </c>
      <c r="AW30" s="22">
        <v>0.96818249719399996</v>
      </c>
      <c r="AX30" s="22">
        <v>0</v>
      </c>
      <c r="AY30" s="22">
        <v>7.7819345727899988E-2</v>
      </c>
      <c r="AZ30" s="22">
        <v>0.63725265332100001</v>
      </c>
      <c r="BA30" s="22">
        <v>0</v>
      </c>
      <c r="BB30" s="7">
        <v>14835.2431994</v>
      </c>
      <c r="BC30" s="1">
        <v>0.82830107868699998</v>
      </c>
      <c r="BD30" s="9">
        <v>0.94299999999999995</v>
      </c>
      <c r="BE30" s="9">
        <v>4.4999999999999998E-2</v>
      </c>
      <c r="BF30" s="10">
        <v>1.2E-2</v>
      </c>
      <c r="BG30" s="11">
        <v>-33.632763338300002</v>
      </c>
      <c r="BH30" s="15">
        <v>834.77777777777783</v>
      </c>
      <c r="BI30" s="20">
        <v>0.99955947136563883</v>
      </c>
      <c r="BJ30" s="15">
        <v>834.41003426333828</v>
      </c>
      <c r="BK30" s="13">
        <f t="shared" si="13"/>
        <v>128541298010.30602</v>
      </c>
      <c r="BL30" s="13">
        <f t="shared" si="10"/>
        <v>200397270975.69403</v>
      </c>
      <c r="BM30" s="14">
        <v>39.077599931972976</v>
      </c>
      <c r="BN30" s="14">
        <v>60.922400068027031</v>
      </c>
      <c r="BO30" s="16">
        <v>0.84695088584040346</v>
      </c>
      <c r="BP30" s="16">
        <v>0.31085889656120302</v>
      </c>
      <c r="BQ30" s="16">
        <v>7.9538258181818184</v>
      </c>
      <c r="BR30" s="16">
        <v>1.1650196363636365</v>
      </c>
      <c r="BS30" s="16">
        <v>0.4289</v>
      </c>
      <c r="BT30" s="16">
        <v>197.8563636363636</v>
      </c>
      <c r="BU30" s="16">
        <v>82.043636363636367</v>
      </c>
      <c r="BV30" s="16">
        <v>42.889999999999993</v>
      </c>
      <c r="BW30" s="16">
        <f>BT30*4</f>
        <v>791.42545454545439</v>
      </c>
      <c r="BX30" s="16">
        <f>BU30*1.29</f>
        <v>105.83629090909092</v>
      </c>
      <c r="BY30" s="16">
        <f>BV30*1.47</f>
        <v>63.04829999999999</v>
      </c>
      <c r="BZ30" s="16">
        <v>6.4999999999999997E-3</v>
      </c>
      <c r="CA30" s="16">
        <f t="shared" si="4"/>
        <v>535.55477857142853</v>
      </c>
      <c r="CB30" s="9">
        <f t="shared" si="5"/>
        <v>58.298452642014432</v>
      </c>
      <c r="CC30" s="16">
        <f t="shared" si="6"/>
        <v>0.70471960041160508</v>
      </c>
      <c r="CD30" s="16">
        <f t="shared" si="7"/>
        <v>2.2967896439182005</v>
      </c>
      <c r="CE30" s="17">
        <f t="shared" si="8"/>
        <v>61.299961886344242</v>
      </c>
      <c r="CF30" s="9">
        <f t="shared" si="9"/>
        <v>29.531595173314287</v>
      </c>
      <c r="CG30" s="18">
        <v>133783436.36363637</v>
      </c>
      <c r="CH30" s="9">
        <f t="shared" si="11"/>
        <v>1432.2259677795014</v>
      </c>
      <c r="CI30" s="9">
        <f t="shared" si="12"/>
        <v>212.27369432738183</v>
      </c>
      <c r="CJ30" s="5">
        <v>50.70773907570635</v>
      </c>
      <c r="CK30" s="5">
        <v>3.6985175551189249</v>
      </c>
      <c r="CL30" s="5">
        <v>52.530821999306376</v>
      </c>
    </row>
    <row r="31" spans="1:90" x14ac:dyDescent="0.25">
      <c r="A31" s="2" t="s">
        <v>188</v>
      </c>
      <c r="B31" s="1" t="s">
        <v>29</v>
      </c>
      <c r="C31" s="1" t="s">
        <v>327</v>
      </c>
      <c r="D31" s="1" t="s">
        <v>330</v>
      </c>
      <c r="E31" s="1" t="s">
        <v>331</v>
      </c>
      <c r="F31" s="21">
        <v>421.59625564700002</v>
      </c>
      <c r="G31" s="22">
        <v>3.437517625E-2</v>
      </c>
      <c r="H31" s="22">
        <v>0</v>
      </c>
      <c r="I31" s="22">
        <v>1049758845.9</v>
      </c>
      <c r="J31" s="22">
        <v>26193.510066300001</v>
      </c>
      <c r="K31" s="22">
        <f t="shared" si="0"/>
        <v>16.095447100440982</v>
      </c>
      <c r="L31" s="22">
        <f t="shared" si="1"/>
        <v>13.123547078261325</v>
      </c>
      <c r="M31" s="22">
        <f t="shared" si="2"/>
        <v>40.077058906686844</v>
      </c>
      <c r="N31" s="21">
        <v>45.651523222599998</v>
      </c>
      <c r="O31" s="21">
        <v>375.94473622499999</v>
      </c>
      <c r="P31" s="22">
        <v>3.6964573444299999E-3</v>
      </c>
      <c r="Q31" s="22">
        <v>3.0678718918E-2</v>
      </c>
      <c r="R31" s="23">
        <v>39.644338731200001</v>
      </c>
      <c r="S31" s="23">
        <v>6.0071843648399996</v>
      </c>
      <c r="T31" s="23">
        <v>0</v>
      </c>
      <c r="U31" s="23">
        <v>330.40202028099998</v>
      </c>
      <c r="V31" s="23">
        <v>45.542715078800001</v>
      </c>
      <c r="W31" s="23">
        <v>0</v>
      </c>
      <c r="X31" s="22">
        <v>3.5262537963200004E-3</v>
      </c>
      <c r="Y31" s="22">
        <v>1.70203557353E-4</v>
      </c>
      <c r="Z31" s="22">
        <v>0</v>
      </c>
      <c r="AA31" s="22">
        <v>2.93883419109E-2</v>
      </c>
      <c r="AB31" s="22">
        <v>1.29037693496E-3</v>
      </c>
      <c r="AC31" s="22">
        <v>0</v>
      </c>
      <c r="AD31" s="21">
        <v>0</v>
      </c>
      <c r="AE31" s="21">
        <v>13.6525888203</v>
      </c>
      <c r="AF31" s="21">
        <v>25.991749795699999</v>
      </c>
      <c r="AG31" s="21">
        <v>0</v>
      </c>
      <c r="AH31" s="21">
        <v>330.40202028899995</v>
      </c>
      <c r="AI31" s="21">
        <v>0</v>
      </c>
      <c r="AJ31" s="21">
        <v>0</v>
      </c>
      <c r="AK31" s="21">
        <v>2.0715690715099999</v>
      </c>
      <c r="AL31" s="21">
        <v>3.93561530171</v>
      </c>
      <c r="AM31" s="21">
        <v>0</v>
      </c>
      <c r="AN31" s="21">
        <v>45.542715138600002</v>
      </c>
      <c r="AO31" s="21">
        <v>0</v>
      </c>
      <c r="AP31" s="22">
        <v>0</v>
      </c>
      <c r="AQ31" s="22">
        <v>5.8694456850799999E-5</v>
      </c>
      <c r="AR31" s="22">
        <v>1.1150910053200001E-4</v>
      </c>
      <c r="AS31" s="22">
        <v>0</v>
      </c>
      <c r="AT31" s="22">
        <v>1.2143598541199999E-3</v>
      </c>
      <c r="AU31" s="22">
        <v>2.3118939390700003E-3</v>
      </c>
      <c r="AV31" s="22">
        <v>0</v>
      </c>
      <c r="AW31" s="22">
        <v>2.9388341890299999E-2</v>
      </c>
      <c r="AX31" s="22">
        <v>0</v>
      </c>
      <c r="AY31" s="22">
        <v>0</v>
      </c>
      <c r="AZ31" s="22">
        <v>1.2903769345699999E-3</v>
      </c>
      <c r="BA31" s="22">
        <v>0</v>
      </c>
      <c r="BB31" s="7">
        <v>3251.2803367500001</v>
      </c>
      <c r="BC31" s="1">
        <v>0.11018227801399999</v>
      </c>
      <c r="BD31" s="9">
        <v>0.75800000000000001</v>
      </c>
      <c r="BE31" s="9">
        <v>0.24199999999999999</v>
      </c>
      <c r="BF31" s="10">
        <v>0</v>
      </c>
      <c r="BG31" s="11">
        <v>-15.8184137121</v>
      </c>
      <c r="BH31" s="15">
        <v>102</v>
      </c>
      <c r="BI31" s="20">
        <v>1</v>
      </c>
      <c r="BJ31" s="15">
        <v>102</v>
      </c>
      <c r="BK31" s="13">
        <f t="shared" si="13"/>
        <v>17084048.710366033</v>
      </c>
      <c r="BL31" s="13">
        <f t="shared" si="10"/>
        <v>1032674797.189634</v>
      </c>
      <c r="BM31" s="14">
        <v>1.6274260299963654</v>
      </c>
      <c r="BN31" s="14">
        <v>98.372573970003629</v>
      </c>
      <c r="BO31" s="16">
        <v>6.3395490328123907E-3</v>
      </c>
      <c r="BP31" s="16">
        <v>2.3268234911641081E-3</v>
      </c>
      <c r="BQ31" s="16">
        <v>0.15106</v>
      </c>
      <c r="BR31" s="16">
        <v>1.7608000000000002E-2</v>
      </c>
      <c r="BS31" s="16">
        <v>2.4927272727272728E-2</v>
      </c>
      <c r="BT31" s="16">
        <v>3.32</v>
      </c>
      <c r="BU31" s="16">
        <v>1.24</v>
      </c>
      <c r="BV31" s="16">
        <v>2.4927272727272727</v>
      </c>
      <c r="BW31" s="16">
        <f>BT31*5.66</f>
        <v>18.7912</v>
      </c>
      <c r="BX31" s="16">
        <f t="shared" ref="BX31:BY33" si="14">BU31*1.36</f>
        <v>1.6864000000000001</v>
      </c>
      <c r="BY31" s="16">
        <f t="shared" si="14"/>
        <v>3.3901090909090912</v>
      </c>
      <c r="BZ31" s="16">
        <v>2.96E-3</v>
      </c>
      <c r="CA31" s="16">
        <f t="shared" si="4"/>
        <v>4.092326857142857</v>
      </c>
      <c r="CB31" s="9">
        <f t="shared" si="5"/>
        <v>0.43637229175858622</v>
      </c>
      <c r="CC31" s="16">
        <f t="shared" si="6"/>
        <v>5.274927431902097E-3</v>
      </c>
      <c r="CD31" s="16">
        <f t="shared" si="7"/>
        <v>1.7191800385481737E-2</v>
      </c>
      <c r="CE31" s="17">
        <f t="shared" si="8"/>
        <v>0.45883901957597006</v>
      </c>
      <c r="CF31" s="9">
        <f t="shared" si="9"/>
        <v>0.22104823166059026</v>
      </c>
      <c r="CG31" s="18">
        <v>7251363.6363636358</v>
      </c>
      <c r="CH31" s="9">
        <f t="shared" si="11"/>
        <v>1.4666727394059904</v>
      </c>
      <c r="CI31" s="9">
        <f t="shared" si="12"/>
        <v>0.20767849763556798</v>
      </c>
      <c r="CJ31" s="5">
        <v>0</v>
      </c>
      <c r="CK31" s="5">
        <v>3.7299962654661796</v>
      </c>
      <c r="CL31" s="5">
        <v>3.7299962654661845</v>
      </c>
    </row>
    <row r="32" spans="1:90" x14ac:dyDescent="0.25">
      <c r="A32" s="2" t="s">
        <v>189</v>
      </c>
      <c r="B32" s="1" t="s">
        <v>30</v>
      </c>
      <c r="C32" s="1" t="s">
        <v>327</v>
      </c>
      <c r="D32" s="1" t="s">
        <v>330</v>
      </c>
      <c r="E32" s="1" t="s">
        <v>331</v>
      </c>
      <c r="F32" s="21">
        <v>0.45048191722999997</v>
      </c>
      <c r="G32" s="22">
        <v>3.9054579987499998E-5</v>
      </c>
      <c r="H32" s="22">
        <v>0</v>
      </c>
      <c r="I32" s="22">
        <v>104292968.442</v>
      </c>
      <c r="J32" s="22">
        <v>11378.775186499999</v>
      </c>
      <c r="K32" s="22">
        <f t="shared" si="0"/>
        <v>3.9589666712499999E-2</v>
      </c>
      <c r="L32" s="22">
        <f t="shared" si="1"/>
        <v>3.4322305650115237E-2</v>
      </c>
      <c r="M32" s="22">
        <f t="shared" si="2"/>
        <v>9.1655706991852011</v>
      </c>
      <c r="N32" s="21">
        <v>0.45048191722999997</v>
      </c>
      <c r="O32" s="21">
        <v>0</v>
      </c>
      <c r="P32" s="22">
        <v>3.9054579987499998E-5</v>
      </c>
      <c r="Q32" s="22">
        <v>0</v>
      </c>
      <c r="R32" s="23">
        <v>0.43851574745499999</v>
      </c>
      <c r="S32" s="23">
        <v>1.19661664975E-2</v>
      </c>
      <c r="T32" s="23">
        <v>0</v>
      </c>
      <c r="U32" s="23">
        <v>0</v>
      </c>
      <c r="V32" s="23">
        <v>0</v>
      </c>
      <c r="W32" s="23">
        <v>0</v>
      </c>
      <c r="X32" s="22">
        <v>3.90047578485E-5</v>
      </c>
      <c r="Y32" s="22">
        <v>4.9822094163500002E-8</v>
      </c>
      <c r="Z32" s="22">
        <v>0</v>
      </c>
      <c r="AA32" s="22">
        <v>0</v>
      </c>
      <c r="AB32" s="22">
        <v>0</v>
      </c>
      <c r="AC32" s="22">
        <v>0</v>
      </c>
      <c r="AD32" s="21">
        <v>0</v>
      </c>
      <c r="AE32" s="21">
        <v>0</v>
      </c>
      <c r="AF32" s="21">
        <v>0.43851574661500003</v>
      </c>
      <c r="AG32" s="21">
        <v>0</v>
      </c>
      <c r="AH32" s="21">
        <v>0</v>
      </c>
      <c r="AI32" s="21">
        <v>0</v>
      </c>
      <c r="AJ32" s="21">
        <v>0</v>
      </c>
      <c r="AK32" s="21">
        <v>0</v>
      </c>
      <c r="AL32" s="21">
        <v>1.1966166491399999E-2</v>
      </c>
      <c r="AM32" s="21">
        <v>0</v>
      </c>
      <c r="AN32" s="21">
        <v>0</v>
      </c>
      <c r="AO32" s="21">
        <v>0</v>
      </c>
      <c r="AP32" s="22">
        <v>0</v>
      </c>
      <c r="AQ32" s="22">
        <v>0</v>
      </c>
      <c r="AR32" s="22">
        <v>4.9822094300199995E-8</v>
      </c>
      <c r="AS32" s="22">
        <v>0</v>
      </c>
      <c r="AT32" s="22">
        <v>0</v>
      </c>
      <c r="AU32" s="22">
        <v>3.90047578007E-5</v>
      </c>
      <c r="AV32" s="22">
        <v>0</v>
      </c>
      <c r="AW32" s="22">
        <v>0</v>
      </c>
      <c r="AX32" s="22">
        <v>0</v>
      </c>
      <c r="AY32" s="22">
        <v>0</v>
      </c>
      <c r="AZ32" s="22">
        <v>0</v>
      </c>
      <c r="BA32" s="22">
        <v>0</v>
      </c>
      <c r="BB32" s="7">
        <v>69.501116449700007</v>
      </c>
      <c r="BC32" s="1">
        <v>2.3553156124299997E-3</v>
      </c>
      <c r="BD32" s="9">
        <v>1</v>
      </c>
      <c r="BE32" s="9">
        <v>0</v>
      </c>
      <c r="BF32" s="10">
        <v>0</v>
      </c>
      <c r="BG32" s="11">
        <v>-19.9232101429</v>
      </c>
      <c r="BH32" s="15">
        <v>2.1111111111111112</v>
      </c>
      <c r="BI32" s="20">
        <v>7.1</v>
      </c>
      <c r="BJ32" s="15">
        <v>14.988888888888889</v>
      </c>
      <c r="BK32" s="13">
        <f t="shared" si="13"/>
        <v>108863.5056915724</v>
      </c>
      <c r="BL32" s="13">
        <f t="shared" si="10"/>
        <v>104184104.93630843</v>
      </c>
      <c r="BM32" s="14">
        <v>0.10438240210998902</v>
      </c>
      <c r="BN32" s="14">
        <v>99.895617597890009</v>
      </c>
      <c r="BO32" s="16">
        <v>2.9648715083798884E-2</v>
      </c>
      <c r="BP32" s="16">
        <v>1.0882055865921789E-2</v>
      </c>
      <c r="BQ32" s="16">
        <v>1.14205E-2</v>
      </c>
      <c r="BR32" s="16">
        <v>7.3839999999999995E-4</v>
      </c>
      <c r="BS32" s="16">
        <v>1.0400000000000001E-3</v>
      </c>
      <c r="BT32" s="16">
        <v>0.251</v>
      </c>
      <c r="BU32" s="16">
        <v>5.2000000000000005E-2</v>
      </c>
      <c r="BV32" s="16">
        <v>0.10400000000000001</v>
      </c>
      <c r="BW32" s="16">
        <f>BT32*5.66</f>
        <v>1.42066</v>
      </c>
      <c r="BX32" s="16">
        <f t="shared" si="14"/>
        <v>7.0720000000000005E-2</v>
      </c>
      <c r="BY32" s="16">
        <f t="shared" si="14"/>
        <v>0.14144000000000001</v>
      </c>
      <c r="BZ32" s="16">
        <v>2.96E-3</v>
      </c>
      <c r="CA32" s="16">
        <f t="shared" si="4"/>
        <v>0.30938977142857144</v>
      </c>
      <c r="CB32" s="9">
        <f t="shared" si="5"/>
        <v>2.0408198882681563</v>
      </c>
      <c r="CC32" s="16">
        <f t="shared" si="6"/>
        <v>2.4669707530726261E-2</v>
      </c>
      <c r="CD32" s="16">
        <f t="shared" si="7"/>
        <v>8.0402373854748604E-2</v>
      </c>
      <c r="CE32" s="17">
        <f t="shared" si="8"/>
        <v>2.1458919696536314</v>
      </c>
      <c r="CF32" s="9">
        <f t="shared" si="9"/>
        <v>1.0337953072625699</v>
      </c>
      <c r="CG32" s="18">
        <v>7824181.8181818184</v>
      </c>
      <c r="CH32" s="9">
        <f t="shared" si="11"/>
        <v>0.4203907145416963</v>
      </c>
      <c r="CI32" s="9">
        <f t="shared" si="12"/>
        <v>4.0074653760258289E-2</v>
      </c>
      <c r="CJ32" s="5">
        <v>0</v>
      </c>
      <c r="CK32" s="5">
        <v>0</v>
      </c>
      <c r="CL32" s="5">
        <v>0</v>
      </c>
    </row>
    <row r="33" spans="1:90" x14ac:dyDescent="0.25">
      <c r="A33" s="2" t="s">
        <v>190</v>
      </c>
      <c r="B33" s="1" t="s">
        <v>31</v>
      </c>
      <c r="C33" s="1" t="s">
        <v>327</v>
      </c>
      <c r="D33" s="1" t="s">
        <v>330</v>
      </c>
      <c r="E33" s="1" t="s">
        <v>331</v>
      </c>
      <c r="F33" s="21">
        <v>1.78898263062E-2</v>
      </c>
      <c r="G33" s="22">
        <v>1.2384880596100002E-6</v>
      </c>
      <c r="H33" s="22">
        <v>0</v>
      </c>
      <c r="I33" s="22">
        <v>6819727.2056700001</v>
      </c>
      <c r="J33" s="22">
        <v>1977.7787632899999</v>
      </c>
      <c r="K33" s="22">
        <f t="shared" si="0"/>
        <v>9.0454132880062842E-3</v>
      </c>
      <c r="L33" s="22">
        <f t="shared" si="1"/>
        <v>6.2620151586105476E-3</v>
      </c>
      <c r="M33" s="22">
        <f t="shared" si="2"/>
        <v>3.4481749588237589</v>
      </c>
      <c r="N33" s="21">
        <v>0</v>
      </c>
      <c r="O33" s="21">
        <v>1.78898263062E-2</v>
      </c>
      <c r="P33" s="22">
        <v>0</v>
      </c>
      <c r="Q33" s="22">
        <v>1.2384880596100002E-6</v>
      </c>
      <c r="R33" s="23">
        <v>0</v>
      </c>
      <c r="S33" s="23">
        <v>0</v>
      </c>
      <c r="T33" s="23">
        <v>0</v>
      </c>
      <c r="U33" s="23">
        <v>1.1462494842400001E-2</v>
      </c>
      <c r="V33" s="23">
        <v>6.4273317889600003E-3</v>
      </c>
      <c r="W33" s="23">
        <v>0</v>
      </c>
      <c r="X33" s="22">
        <v>0</v>
      </c>
      <c r="Y33" s="22">
        <v>0</v>
      </c>
      <c r="Z33" s="22">
        <v>0</v>
      </c>
      <c r="AA33" s="22">
        <v>1.01955707076E-6</v>
      </c>
      <c r="AB33" s="22">
        <v>2.1893098897E-7</v>
      </c>
      <c r="AC33" s="22">
        <v>0</v>
      </c>
      <c r="AD33" s="21">
        <v>0</v>
      </c>
      <c r="AE33" s="21">
        <v>0</v>
      </c>
      <c r="AF33" s="21">
        <v>0</v>
      </c>
      <c r="AG33" s="21">
        <v>1.14624947781E-2</v>
      </c>
      <c r="AH33" s="21">
        <v>0</v>
      </c>
      <c r="AI33" s="21">
        <v>0</v>
      </c>
      <c r="AJ33" s="21">
        <v>0</v>
      </c>
      <c r="AK33" s="21">
        <v>0</v>
      </c>
      <c r="AL33" s="21">
        <v>0</v>
      </c>
      <c r="AM33" s="21">
        <v>6.4273318014800001E-3</v>
      </c>
      <c r="AN33" s="21">
        <v>0</v>
      </c>
      <c r="AO33" s="21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1.0195570683000001E-6</v>
      </c>
      <c r="AW33" s="22">
        <v>0</v>
      </c>
      <c r="AX33" s="22">
        <v>0</v>
      </c>
      <c r="AY33" s="22">
        <v>2.1893098895700001E-7</v>
      </c>
      <c r="AZ33" s="22">
        <v>0</v>
      </c>
      <c r="BA33" s="22">
        <v>0</v>
      </c>
      <c r="BB33" s="7">
        <v>1.60290794133</v>
      </c>
      <c r="BC33" s="1">
        <v>5.4320769276499999E-5</v>
      </c>
      <c r="BD33" s="9">
        <v>0.995</v>
      </c>
      <c r="BE33" s="9">
        <v>0</v>
      </c>
      <c r="BF33" s="10">
        <v>5.0000000000000001E-3</v>
      </c>
      <c r="BG33" s="11">
        <v>-20.7353855317</v>
      </c>
      <c r="BH33" s="15">
        <v>122.625</v>
      </c>
      <c r="BI33" s="20">
        <v>1</v>
      </c>
      <c r="BJ33" s="15">
        <v>122.625</v>
      </c>
      <c r="BK33" s="13">
        <f t="shared" si="13"/>
        <v>0</v>
      </c>
      <c r="BL33" s="13">
        <f t="shared" si="10"/>
        <v>6819727.2056700001</v>
      </c>
      <c r="BM33" s="14">
        <v>0</v>
      </c>
      <c r="BN33" s="14">
        <v>100</v>
      </c>
      <c r="BO33" s="16">
        <v>0.13179889298892988</v>
      </c>
      <c r="BP33" s="16">
        <v>4.8374538745387455E-2</v>
      </c>
      <c r="BQ33" s="16">
        <v>6.2688888888888891E-2</v>
      </c>
      <c r="BR33" s="16">
        <v>7.5575555555555552E-3</v>
      </c>
      <c r="BS33" s="16">
        <v>1.2357142857142856E-2</v>
      </c>
      <c r="BT33" s="16">
        <v>1.3777777777777778</v>
      </c>
      <c r="BU33" s="16">
        <v>0.53222222222222237</v>
      </c>
      <c r="BV33" s="16">
        <v>1.2357142857142858</v>
      </c>
      <c r="BW33" s="16">
        <f>BT33*5.66</f>
        <v>7.7982222222222219</v>
      </c>
      <c r="BX33" s="16">
        <f t="shared" si="14"/>
        <v>0.72382222222222248</v>
      </c>
      <c r="BY33" s="16">
        <f t="shared" si="14"/>
        <v>1.6805714285714288</v>
      </c>
      <c r="BZ33" s="16">
        <v>2.96E-3</v>
      </c>
      <c r="CA33" s="16">
        <f t="shared" si="4"/>
        <v>1.6982882539682538</v>
      </c>
      <c r="CB33" s="9">
        <f t="shared" si="5"/>
        <v>9.0721571340713396</v>
      </c>
      <c r="CC33" s="16">
        <f t="shared" si="6"/>
        <v>0.10966546555965559</v>
      </c>
      <c r="CD33" s="16">
        <f t="shared" si="7"/>
        <v>0.35741663130381301</v>
      </c>
      <c r="CE33" s="17">
        <f t="shared" si="8"/>
        <v>9.5392392309348093</v>
      </c>
      <c r="CF33" s="9">
        <f t="shared" si="9"/>
        <v>4.5955811808118083</v>
      </c>
      <c r="CG33" s="18">
        <v>549181.81818181812</v>
      </c>
      <c r="CH33" s="9">
        <f t="shared" si="11"/>
        <v>0.14431236109053633</v>
      </c>
      <c r="CI33" s="9">
        <f t="shared" si="12"/>
        <v>1.429834653986113E-2</v>
      </c>
      <c r="CJ33" s="5">
        <v>0</v>
      </c>
      <c r="CK33" s="5">
        <v>0</v>
      </c>
      <c r="CL33" s="5">
        <v>0</v>
      </c>
    </row>
    <row r="34" spans="1:90" x14ac:dyDescent="0.25">
      <c r="A34" s="2" t="s">
        <v>191</v>
      </c>
      <c r="B34" s="1" t="s">
        <v>32</v>
      </c>
      <c r="C34" s="1" t="s">
        <v>334</v>
      </c>
      <c r="D34" s="1" t="s">
        <v>334</v>
      </c>
      <c r="E34" s="1" t="s">
        <v>339</v>
      </c>
      <c r="F34" s="21">
        <v>898.08822276599994</v>
      </c>
      <c r="G34" s="22">
        <v>6.592278916109999E-2</v>
      </c>
      <c r="H34" s="22">
        <v>1.1055509784300001E-5</v>
      </c>
      <c r="I34" s="22">
        <v>5316563975.5200005</v>
      </c>
      <c r="J34" s="22">
        <v>900399.48609300004</v>
      </c>
      <c r="K34" s="22">
        <f t="shared" ref="K34:K65" si="15">F34/J34*1000</f>
        <v>0.99743306902913831</v>
      </c>
      <c r="L34" s="22">
        <f t="shared" ref="L34:L65" si="16">G34/J34*10000000</f>
        <v>0.73215045298560943</v>
      </c>
      <c r="M34" s="22">
        <f t="shared" ref="M34:M65" si="17">(I34/J34)/1000</f>
        <v>5.9046723789121156</v>
      </c>
      <c r="N34" s="21">
        <v>577.64792029700004</v>
      </c>
      <c r="O34" s="21">
        <v>320.44030214700001</v>
      </c>
      <c r="P34" s="22">
        <v>4.2379220548500005E-2</v>
      </c>
      <c r="Q34" s="22">
        <v>2.3543568594600002E-2</v>
      </c>
      <c r="R34" s="23">
        <v>396.30853107500002</v>
      </c>
      <c r="S34" s="23">
        <v>181.33938910699999</v>
      </c>
      <c r="T34" s="23">
        <v>0</v>
      </c>
      <c r="U34" s="23">
        <v>220.53884742700001</v>
      </c>
      <c r="V34" s="23">
        <v>99.9014549109</v>
      </c>
      <c r="W34" s="23">
        <v>0</v>
      </c>
      <c r="X34" s="22">
        <v>3.5250542951900006E-2</v>
      </c>
      <c r="Y34" s="22">
        <v>7.1286775531200003E-3</v>
      </c>
      <c r="Z34" s="22">
        <v>0</v>
      </c>
      <c r="AA34" s="22">
        <v>1.96163178597E-2</v>
      </c>
      <c r="AB34" s="22">
        <v>3.9272507774000005E-3</v>
      </c>
      <c r="AC34" s="22">
        <v>0</v>
      </c>
      <c r="AD34" s="21">
        <v>2.9081554806800001</v>
      </c>
      <c r="AE34" s="21">
        <v>23.422039425299999</v>
      </c>
      <c r="AF34" s="21">
        <v>369.97833618499999</v>
      </c>
      <c r="AG34" s="21">
        <v>15.992388783900001</v>
      </c>
      <c r="AH34" s="21">
        <v>204.54645850999998</v>
      </c>
      <c r="AI34" s="21">
        <v>0</v>
      </c>
      <c r="AJ34" s="21">
        <v>1.33419883949</v>
      </c>
      <c r="AK34" s="21">
        <v>10.7145391021</v>
      </c>
      <c r="AL34" s="21">
        <v>169.29065109799998</v>
      </c>
      <c r="AM34" s="21">
        <v>7.2443604565799999</v>
      </c>
      <c r="AN34" s="21">
        <v>92.657094300200001</v>
      </c>
      <c r="AO34" s="21">
        <v>0</v>
      </c>
      <c r="AP34" s="22">
        <v>5.24490203861E-5</v>
      </c>
      <c r="AQ34" s="22">
        <v>4.2120189524000003E-4</v>
      </c>
      <c r="AR34" s="22">
        <v>6.6550266406599995E-3</v>
      </c>
      <c r="AS34" s="22">
        <v>2.5867235204400001E-4</v>
      </c>
      <c r="AT34" s="22">
        <v>2.0833253434800001E-3</v>
      </c>
      <c r="AU34" s="22">
        <v>3.2908545298799996E-2</v>
      </c>
      <c r="AV34" s="22">
        <v>1.42247855736E-3</v>
      </c>
      <c r="AW34" s="22">
        <v>1.8193839291200001E-2</v>
      </c>
      <c r="AX34" s="22">
        <v>0</v>
      </c>
      <c r="AY34" s="22">
        <v>2.8478484431099997E-4</v>
      </c>
      <c r="AZ34" s="22">
        <v>3.6424659380199999E-3</v>
      </c>
      <c r="BA34" s="22">
        <v>0</v>
      </c>
      <c r="BB34" s="7">
        <v>159.68500728800001</v>
      </c>
      <c r="BC34" s="1">
        <v>3.1493432197799999E-3</v>
      </c>
      <c r="BD34" s="9">
        <v>0.95199999999999996</v>
      </c>
      <c r="BE34" s="9">
        <v>4.1000000000000002E-2</v>
      </c>
      <c r="BF34" s="10">
        <v>7.0000000000000001E-3</v>
      </c>
      <c r="BG34" s="11">
        <v>-33.995528762299998</v>
      </c>
      <c r="BH34" s="15">
        <v>141.44444444444446</v>
      </c>
      <c r="BI34" s="20">
        <v>1.0005376344086021</v>
      </c>
      <c r="BJ34" s="15">
        <v>141.5204898446834</v>
      </c>
      <c r="BK34" s="13">
        <f t="shared" si="13"/>
        <v>271401731.42912883</v>
      </c>
      <c r="BL34" s="13">
        <f t="shared" si="10"/>
        <v>5045162244.0908728</v>
      </c>
      <c r="BM34" s="14">
        <v>5.1048333600195912</v>
      </c>
      <c r="BN34" s="14">
        <v>94.895166639980417</v>
      </c>
      <c r="BO34" s="16">
        <v>0.64822873201055953</v>
      </c>
      <c r="BP34" s="16">
        <v>0.27191007408668993</v>
      </c>
      <c r="BQ34" s="16">
        <v>4.4259504545454549</v>
      </c>
      <c r="BR34" s="16">
        <v>0.63994236363636359</v>
      </c>
      <c r="BS34" s="16">
        <v>0.60706363636363647</v>
      </c>
      <c r="BT34" s="16">
        <v>97.273636363636356</v>
      </c>
      <c r="BU34" s="16">
        <v>45.06636363636364</v>
      </c>
      <c r="BV34" s="16">
        <v>60.706363636363633</v>
      </c>
      <c r="BW34" s="16">
        <f>BT34*3.53</f>
        <v>343.3759363636363</v>
      </c>
      <c r="BX34" s="16">
        <f>BU34*0.54</f>
        <v>24.335836363636368</v>
      </c>
      <c r="BY34" s="16">
        <f>BV34*1.02</f>
        <v>61.920490909090908</v>
      </c>
      <c r="BZ34" s="16">
        <v>2.4420000000000001E-2</v>
      </c>
      <c r="CA34" s="16">
        <f t="shared" si="4"/>
        <v>989.19367328571434</v>
      </c>
      <c r="CB34" s="9">
        <f t="shared" si="5"/>
        <v>44.619744386726843</v>
      </c>
      <c r="CC34" s="16">
        <f t="shared" si="6"/>
        <v>0.53936952028158625</v>
      </c>
      <c r="CD34" s="16">
        <f t="shared" si="7"/>
        <v>1.7578882830906357</v>
      </c>
      <c r="CE34" s="17">
        <f t="shared" si="8"/>
        <v>46.917002190099069</v>
      </c>
      <c r="CF34" s="9">
        <f t="shared" si="9"/>
        <v>25.831457038235545</v>
      </c>
      <c r="CG34" s="18">
        <v>3690300</v>
      </c>
      <c r="CH34" s="9">
        <f t="shared" si="11"/>
        <v>24.330499440349772</v>
      </c>
      <c r="CI34" s="9">
        <f t="shared" si="12"/>
        <v>5.5043569941138681</v>
      </c>
      <c r="CJ34" s="5">
        <v>0</v>
      </c>
      <c r="CK34" s="5">
        <v>0</v>
      </c>
      <c r="CL34" s="5">
        <v>0</v>
      </c>
    </row>
    <row r="35" spans="1:90" x14ac:dyDescent="0.25">
      <c r="A35" s="2" t="s">
        <v>192</v>
      </c>
      <c r="B35" s="1" t="s">
        <v>33</v>
      </c>
      <c r="C35" s="1" t="s">
        <v>327</v>
      </c>
      <c r="D35" s="1" t="s">
        <v>340</v>
      </c>
      <c r="E35" s="1" t="s">
        <v>331</v>
      </c>
      <c r="F35" s="21">
        <v>1.21045335196</v>
      </c>
      <c r="G35" s="22">
        <v>1.0766646313699999E-4</v>
      </c>
      <c r="H35" s="22">
        <v>0</v>
      </c>
      <c r="I35" s="22">
        <v>1455129.6367200001</v>
      </c>
      <c r="J35" s="22">
        <v>2209.9512450100001</v>
      </c>
      <c r="K35" s="22">
        <f t="shared" si="15"/>
        <v>0.54772853233444196</v>
      </c>
      <c r="L35" s="22">
        <f t="shared" si="16"/>
        <v>0.48718931415390926</v>
      </c>
      <c r="M35" s="22">
        <f t="shared" si="17"/>
        <v>0.65844422586499884</v>
      </c>
      <c r="N35" s="21">
        <v>0.20405381056499999</v>
      </c>
      <c r="O35" s="21">
        <v>1.00639953371</v>
      </c>
      <c r="P35" s="22">
        <v>1.81500201821E-5</v>
      </c>
      <c r="Q35" s="22">
        <v>8.9516442775700004E-5</v>
      </c>
      <c r="R35" s="23">
        <v>0.20405381056499999</v>
      </c>
      <c r="S35" s="23">
        <v>0</v>
      </c>
      <c r="T35" s="23">
        <v>0</v>
      </c>
      <c r="U35" s="23">
        <v>1.00639953371</v>
      </c>
      <c r="V35" s="23">
        <v>0</v>
      </c>
      <c r="W35" s="23">
        <v>0</v>
      </c>
      <c r="X35" s="22">
        <v>1.81500201821E-5</v>
      </c>
      <c r="Y35" s="22">
        <v>0</v>
      </c>
      <c r="Z35" s="22">
        <v>0</v>
      </c>
      <c r="AA35" s="22">
        <v>8.9516442775700004E-5</v>
      </c>
      <c r="AB35" s="22">
        <v>0</v>
      </c>
      <c r="AC35" s="22">
        <v>0</v>
      </c>
      <c r="AD35" s="21">
        <v>0.204053812256</v>
      </c>
      <c r="AE35" s="21">
        <v>0</v>
      </c>
      <c r="AF35" s="21">
        <v>0</v>
      </c>
      <c r="AG35" s="21">
        <v>1.00639953125</v>
      </c>
      <c r="AH35" s="21">
        <v>0</v>
      </c>
      <c r="AI35" s="21">
        <v>0</v>
      </c>
      <c r="AJ35" s="21">
        <v>0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2">
        <v>0</v>
      </c>
      <c r="AQ35" s="22">
        <v>0</v>
      </c>
      <c r="AR35" s="22">
        <v>0</v>
      </c>
      <c r="AS35" s="22">
        <v>1.8150020062499998E-5</v>
      </c>
      <c r="AT35" s="22">
        <v>0</v>
      </c>
      <c r="AU35" s="22">
        <v>0</v>
      </c>
      <c r="AV35" s="22">
        <v>8.9516443125000006E-5</v>
      </c>
      <c r="AW35" s="22">
        <v>0</v>
      </c>
      <c r="AX35" s="22">
        <v>0</v>
      </c>
      <c r="AY35" s="22">
        <v>0</v>
      </c>
      <c r="AZ35" s="22">
        <v>0</v>
      </c>
      <c r="BA35" s="22">
        <v>0</v>
      </c>
      <c r="BB35" s="7">
        <v>0</v>
      </c>
      <c r="BC35" s="1">
        <v>0</v>
      </c>
      <c r="BD35" s="9">
        <v>0</v>
      </c>
      <c r="BE35" s="9">
        <v>0</v>
      </c>
      <c r="BF35" s="10">
        <v>1</v>
      </c>
      <c r="BG35" s="11">
        <v>0</v>
      </c>
      <c r="BH35" s="12">
        <v>675.43636360000005</v>
      </c>
      <c r="BI35" s="20">
        <v>1</v>
      </c>
      <c r="BJ35" s="15">
        <v>675.43636360000005</v>
      </c>
      <c r="BK35" s="13">
        <f t="shared" si="13"/>
        <v>204660.29051308523</v>
      </c>
      <c r="BL35" s="13">
        <f t="shared" si="10"/>
        <v>1250469.3462069149</v>
      </c>
      <c r="BM35" s="14">
        <v>14.064746215629894</v>
      </c>
      <c r="BN35" s="14">
        <v>85.935253784370104</v>
      </c>
      <c r="BO35" s="16" t="s">
        <v>390</v>
      </c>
      <c r="BP35" s="16" t="s">
        <v>390</v>
      </c>
      <c r="BQ35" s="16" t="s">
        <v>390</v>
      </c>
      <c r="BR35" s="16" t="s">
        <v>390</v>
      </c>
      <c r="BS35" s="16" t="s">
        <v>390</v>
      </c>
      <c r="BT35" s="16" t="s">
        <v>390</v>
      </c>
      <c r="BU35" s="16" t="s">
        <v>391</v>
      </c>
      <c r="BV35" s="16" t="s">
        <v>390</v>
      </c>
      <c r="BW35" s="16" t="s">
        <v>390</v>
      </c>
      <c r="BX35" s="16" t="s">
        <v>390</v>
      </c>
      <c r="BY35" s="16" t="s">
        <v>390</v>
      </c>
      <c r="BZ35" s="16" t="s">
        <v>391</v>
      </c>
      <c r="CA35" s="16" t="s">
        <v>390</v>
      </c>
      <c r="CB35" s="16" t="s">
        <v>390</v>
      </c>
      <c r="CC35" s="16" t="s">
        <v>390</v>
      </c>
      <c r="CD35" s="16" t="s">
        <v>390</v>
      </c>
      <c r="CE35" s="16" t="s">
        <v>391</v>
      </c>
      <c r="CF35" s="16" t="s">
        <v>390</v>
      </c>
      <c r="CG35" s="18">
        <v>50272.727272727272</v>
      </c>
      <c r="CH35" s="9" t="s">
        <v>447</v>
      </c>
      <c r="CI35" s="9" t="s">
        <v>447</v>
      </c>
      <c r="CJ35" s="5">
        <v>66.957274008924898</v>
      </c>
      <c r="CK35" s="5">
        <v>0</v>
      </c>
      <c r="CL35" s="5">
        <v>66.957274008924898</v>
      </c>
    </row>
    <row r="36" spans="1:90" x14ac:dyDescent="0.25">
      <c r="A36" s="2" t="s">
        <v>193</v>
      </c>
      <c r="B36" s="1" t="s">
        <v>34</v>
      </c>
      <c r="C36" s="1" t="s">
        <v>332</v>
      </c>
      <c r="D36" s="1" t="s">
        <v>338</v>
      </c>
      <c r="E36" s="1" t="s">
        <v>339</v>
      </c>
      <c r="F36" s="21">
        <v>278.74087048400003</v>
      </c>
      <c r="G36" s="22">
        <v>1.6055219612900001E-2</v>
      </c>
      <c r="H36" s="22">
        <v>4.94947962835E-6</v>
      </c>
      <c r="I36" s="22">
        <v>720944806.87899995</v>
      </c>
      <c r="J36" s="22">
        <v>101172.656694</v>
      </c>
      <c r="K36" s="22">
        <f t="shared" si="15"/>
        <v>2.7551008305244062</v>
      </c>
      <c r="L36" s="22">
        <f t="shared" si="16"/>
        <v>1.5869129206974899</v>
      </c>
      <c r="M36" s="22">
        <f t="shared" si="17"/>
        <v>7.1258858908837492</v>
      </c>
      <c r="N36" s="21">
        <v>184.36303474100001</v>
      </c>
      <c r="O36" s="21">
        <v>94.377834667299993</v>
      </c>
      <c r="P36" s="22">
        <v>1.0561122836200001E-2</v>
      </c>
      <c r="Q36" s="22">
        <v>5.4940968132099997E-3</v>
      </c>
      <c r="R36" s="23">
        <v>108.294013393</v>
      </c>
      <c r="S36" s="23">
        <v>76.069020126799998</v>
      </c>
      <c r="T36" s="23">
        <v>0</v>
      </c>
      <c r="U36" s="23">
        <v>56.5802181691</v>
      </c>
      <c r="V36" s="23">
        <v>37.797616361199999</v>
      </c>
      <c r="W36" s="23">
        <v>0</v>
      </c>
      <c r="X36" s="22">
        <v>9.6324516974400001E-3</v>
      </c>
      <c r="Y36" s="22">
        <v>9.2867112727699997E-4</v>
      </c>
      <c r="Z36" s="22">
        <v>0</v>
      </c>
      <c r="AA36" s="22">
        <v>5.0326532626899997E-3</v>
      </c>
      <c r="AB36" s="22">
        <v>4.6144349954199996E-4</v>
      </c>
      <c r="AC36" s="22">
        <v>0</v>
      </c>
      <c r="AD36" s="21">
        <v>5.4970883317200006</v>
      </c>
      <c r="AE36" s="21">
        <v>16.511906596899998</v>
      </c>
      <c r="AF36" s="21">
        <v>86.285018747199999</v>
      </c>
      <c r="AG36" s="21">
        <v>10.5414606772</v>
      </c>
      <c r="AH36" s="21">
        <v>46.038757810999996</v>
      </c>
      <c r="AI36" s="21">
        <v>0</v>
      </c>
      <c r="AJ36" s="21">
        <v>3.8711910622100003</v>
      </c>
      <c r="AK36" s="21">
        <v>11.4127920517</v>
      </c>
      <c r="AL36" s="21">
        <v>60.785037089399999</v>
      </c>
      <c r="AM36" s="21">
        <v>7.0420740438700005</v>
      </c>
      <c r="AN36" s="21">
        <v>30.755542184900001</v>
      </c>
      <c r="AO36" s="21">
        <v>0</v>
      </c>
      <c r="AP36" s="22">
        <v>4.7260545204200002E-5</v>
      </c>
      <c r="AQ36" s="22">
        <v>1.39330444899E-4</v>
      </c>
      <c r="AR36" s="22">
        <v>7.4208013680600001E-4</v>
      </c>
      <c r="AS36" s="22">
        <v>4.8895073911399997E-4</v>
      </c>
      <c r="AT36" s="22">
        <v>1.4686882294300001E-3</v>
      </c>
      <c r="AU36" s="22">
        <v>7.6748127438999994E-3</v>
      </c>
      <c r="AV36" s="22">
        <v>9.3763364497699998E-4</v>
      </c>
      <c r="AW36" s="22">
        <v>4.0950196434599998E-3</v>
      </c>
      <c r="AX36" s="22">
        <v>0</v>
      </c>
      <c r="AY36" s="22">
        <v>8.5971540175799999E-5</v>
      </c>
      <c r="AZ36" s="22">
        <v>3.7547195977100003E-4</v>
      </c>
      <c r="BA36" s="22">
        <v>0</v>
      </c>
      <c r="BB36" s="7">
        <v>204.202503044</v>
      </c>
      <c r="BC36" s="1">
        <v>4.0273271836600002E-3</v>
      </c>
      <c r="BD36" s="9">
        <v>0.85</v>
      </c>
      <c r="BE36" s="9">
        <v>0.1</v>
      </c>
      <c r="BF36" s="10">
        <v>0.05</v>
      </c>
      <c r="BG36" s="11">
        <v>-24.985085211000001</v>
      </c>
      <c r="BH36" s="15">
        <v>38.888888888888886</v>
      </c>
      <c r="BI36" s="20">
        <v>1.1301369863013699</v>
      </c>
      <c r="BJ36" s="15">
        <v>43.949771689497716</v>
      </c>
      <c r="BK36" s="13">
        <f t="shared" si="13"/>
        <v>124772513.42570515</v>
      </c>
      <c r="BL36" s="13">
        <f t="shared" si="10"/>
        <v>596172293.45329487</v>
      </c>
      <c r="BM36" s="14">
        <v>17.306805213820812</v>
      </c>
      <c r="BN36" s="14">
        <v>82.693194786179191</v>
      </c>
      <c r="BO36" s="16">
        <v>1.7625101351351351</v>
      </c>
      <c r="BP36" s="16">
        <v>0.73931351351351349</v>
      </c>
      <c r="BQ36" s="16">
        <v>5.920129090909092</v>
      </c>
      <c r="BR36" s="16">
        <v>0.64686163636363636</v>
      </c>
      <c r="BS36" s="16">
        <v>1.2141272727272729</v>
      </c>
      <c r="BT36" s="16">
        <v>130.11272727272726</v>
      </c>
      <c r="BU36" s="16">
        <v>45.553636363636365</v>
      </c>
      <c r="BV36" s="16">
        <v>121.41272727272727</v>
      </c>
      <c r="BW36" s="16">
        <f>BT36*3.53</f>
        <v>459.29792727272718</v>
      </c>
      <c r="BX36" s="16">
        <f>BU36*0.54</f>
        <v>24.598963636363639</v>
      </c>
      <c r="BY36" s="16">
        <f>BV36*1.02</f>
        <v>123.84098181818182</v>
      </c>
      <c r="BZ36" s="16">
        <v>2.4420000000000001E-2</v>
      </c>
      <c r="CA36" s="16">
        <f t="shared" ref="CA36:CA58" si="18">(BT36*BZ36)*(44/28)*265</f>
        <v>1323.1404874285713</v>
      </c>
      <c r="CB36" s="9">
        <f t="shared" ref="CB36:CB58" si="19">(74.1+69.3+63.1)/3*BO36</f>
        <v>121.31944763513512</v>
      </c>
      <c r="CC36" s="16">
        <f t="shared" ref="CC36:CC58" si="20">(0.00415+0.08+0.005)/3*BO36*28</f>
        <v>1.4665259331081082</v>
      </c>
      <c r="CD36" s="16">
        <f t="shared" ref="CD36:CD58" si="21">(0.0286+0.002+0.0001)/3*BO36*265</f>
        <v>4.7796337347972973</v>
      </c>
      <c r="CE36" s="17">
        <f t="shared" ref="CE36:CE58" si="22">CB36+CC36+CD36</f>
        <v>127.56560730304052</v>
      </c>
      <c r="CF36" s="9">
        <f t="shared" ref="CF36:CF58" si="23">BP36*95</f>
        <v>70.234783783783783</v>
      </c>
      <c r="CG36" s="18">
        <v>503181.81818181818</v>
      </c>
      <c r="CH36" s="9">
        <f t="shared" si="11"/>
        <v>5.1741892750245704</v>
      </c>
      <c r="CI36" s="9">
        <f t="shared" si="12"/>
        <v>1.071112444375288</v>
      </c>
      <c r="CJ36" s="5">
        <v>0</v>
      </c>
      <c r="CK36" s="5">
        <v>10.908371375097923</v>
      </c>
      <c r="CL36" s="5">
        <v>10.908371375097925</v>
      </c>
    </row>
    <row r="37" spans="1:90" x14ac:dyDescent="0.25">
      <c r="A37" s="2" t="s">
        <v>194</v>
      </c>
      <c r="B37" s="1" t="s">
        <v>35</v>
      </c>
      <c r="C37" s="1" t="s">
        <v>332</v>
      </c>
      <c r="D37" s="1" t="s">
        <v>333</v>
      </c>
      <c r="E37" s="1" t="s">
        <v>339</v>
      </c>
      <c r="F37" s="21">
        <v>1999.5877819100001</v>
      </c>
      <c r="G37" s="22">
        <v>0.27129405058600004</v>
      </c>
      <c r="H37" s="22">
        <v>5.4833716478200006E-5</v>
      </c>
      <c r="I37" s="22">
        <v>1875464428.8900001</v>
      </c>
      <c r="J37" s="22">
        <v>850312.13636100001</v>
      </c>
      <c r="K37" s="22">
        <f t="shared" si="15"/>
        <v>2.3515926639215641</v>
      </c>
      <c r="L37" s="22">
        <f t="shared" si="16"/>
        <v>3.1905230912854115</v>
      </c>
      <c r="M37" s="22">
        <f t="shared" si="17"/>
        <v>2.2056187941950904</v>
      </c>
      <c r="N37" s="21">
        <v>1278.8841687300001</v>
      </c>
      <c r="O37" s="21">
        <v>720.70361689200001</v>
      </c>
      <c r="P37" s="22">
        <v>0.17411388617000001</v>
      </c>
      <c r="Q37" s="22">
        <v>9.7180164414500003E-2</v>
      </c>
      <c r="R37" s="23">
        <v>853.74511744899996</v>
      </c>
      <c r="S37" s="23">
        <v>425.13905147200001</v>
      </c>
      <c r="T37" s="23">
        <v>0</v>
      </c>
      <c r="U37" s="23">
        <v>487.74206028999998</v>
      </c>
      <c r="V37" s="23">
        <v>232.961555925</v>
      </c>
      <c r="W37" s="23">
        <v>0</v>
      </c>
      <c r="X37" s="22">
        <v>7.5938256717399996E-2</v>
      </c>
      <c r="Y37" s="22">
        <v>9.8175629086600005E-2</v>
      </c>
      <c r="Z37" s="22">
        <v>0</v>
      </c>
      <c r="AA37" s="22">
        <v>4.3383301487299998E-2</v>
      </c>
      <c r="AB37" s="22">
        <v>5.3796862984699996E-2</v>
      </c>
      <c r="AC37" s="22">
        <v>0</v>
      </c>
      <c r="AD37" s="21">
        <v>16.503040967499999</v>
      </c>
      <c r="AE37" s="21">
        <v>570.72157253400007</v>
      </c>
      <c r="AF37" s="21">
        <v>266.520503797</v>
      </c>
      <c r="AG37" s="21">
        <v>10.6879386161</v>
      </c>
      <c r="AH37" s="21">
        <v>477.05412246899999</v>
      </c>
      <c r="AI37" s="21">
        <v>0</v>
      </c>
      <c r="AJ37" s="21">
        <v>8.4370924616599989</v>
      </c>
      <c r="AK37" s="21">
        <v>281.11413658399999</v>
      </c>
      <c r="AL37" s="21">
        <v>135.587823423</v>
      </c>
      <c r="AM37" s="21">
        <v>5.10490892264</v>
      </c>
      <c r="AN37" s="21">
        <v>227.85664683300001</v>
      </c>
      <c r="AO37" s="21">
        <v>0</v>
      </c>
      <c r="AP37" s="22">
        <v>1.9483433860699999E-3</v>
      </c>
      <c r="AQ37" s="22">
        <v>6.4916542198900001E-2</v>
      </c>
      <c r="AR37" s="22">
        <v>3.1310743631799996E-2</v>
      </c>
      <c r="AS37" s="22">
        <v>1.4678996519999999E-3</v>
      </c>
      <c r="AT37" s="22">
        <v>5.0764098562600002E-2</v>
      </c>
      <c r="AU37" s="22">
        <v>2.37062584368E-2</v>
      </c>
      <c r="AV37" s="22">
        <v>9.506624516569999E-4</v>
      </c>
      <c r="AW37" s="22">
        <v>4.2432639010900004E-2</v>
      </c>
      <c r="AX37" s="22">
        <v>0</v>
      </c>
      <c r="AY37" s="22">
        <v>1.1788558210099999E-3</v>
      </c>
      <c r="AZ37" s="22">
        <v>5.2618007173199997E-2</v>
      </c>
      <c r="BA37" s="22">
        <v>0</v>
      </c>
      <c r="BB37" s="7">
        <v>1683.9524837700001</v>
      </c>
      <c r="BC37" s="1">
        <v>3.3211285248800002E-2</v>
      </c>
      <c r="BD37" s="9">
        <v>0.46500000000000002</v>
      </c>
      <c r="BE37" s="9">
        <v>0.51100000000000001</v>
      </c>
      <c r="BF37" s="10">
        <v>2.5000000000000001E-2</v>
      </c>
      <c r="BG37" s="11">
        <v>-14.4737275525</v>
      </c>
      <c r="BH37" s="15">
        <v>831.33333333333337</v>
      </c>
      <c r="BI37" s="20">
        <v>1</v>
      </c>
      <c r="BJ37" s="15">
        <v>831.33333333333337</v>
      </c>
      <c r="BK37" s="13">
        <f t="shared" si="13"/>
        <v>846326014.84065568</v>
      </c>
      <c r="BL37" s="13">
        <f t="shared" si="10"/>
        <v>1029138414.0493445</v>
      </c>
      <c r="BM37" s="14">
        <v>45.126209903194834</v>
      </c>
      <c r="BN37" s="14">
        <v>54.873790096805166</v>
      </c>
      <c r="BO37" s="16">
        <v>2.1799158485273495</v>
      </c>
      <c r="BP37" s="16">
        <v>0.9144011220196353</v>
      </c>
      <c r="BQ37" s="16">
        <v>0.54004363636363639</v>
      </c>
      <c r="BR37" s="16">
        <v>6.9141090909090916E-2</v>
      </c>
      <c r="BS37" s="16">
        <v>9.2272727272727284E-2</v>
      </c>
      <c r="BT37" s="16">
        <v>11.869090909090909</v>
      </c>
      <c r="BU37" s="16">
        <v>4.8690909090909082</v>
      </c>
      <c r="BV37" s="16">
        <v>9.2272727272727266</v>
      </c>
      <c r="BW37" s="16">
        <f>BT37*3.53</f>
        <v>41.897890909090904</v>
      </c>
      <c r="BX37" s="16">
        <f>BU37*0.54</f>
        <v>2.6293090909090906</v>
      </c>
      <c r="BY37" s="16">
        <f>BV37*1.02</f>
        <v>9.4118181818181821</v>
      </c>
      <c r="BZ37" s="16">
        <v>2.4420000000000001E-2</v>
      </c>
      <c r="CA37" s="16">
        <f t="shared" si="18"/>
        <v>120.69898971428573</v>
      </c>
      <c r="CB37" s="9">
        <f t="shared" si="19"/>
        <v>150.05087424029921</v>
      </c>
      <c r="CC37" s="16">
        <f t="shared" si="20"/>
        <v>1.8138353136979899</v>
      </c>
      <c r="CD37" s="16">
        <f t="shared" si="21"/>
        <v>5.9115684618980842</v>
      </c>
      <c r="CE37" s="17">
        <f t="shared" si="22"/>
        <v>157.77627801589526</v>
      </c>
      <c r="CF37" s="9">
        <f t="shared" si="23"/>
        <v>86.868106591865356</v>
      </c>
      <c r="CG37" s="18">
        <v>4055054.5454545454</v>
      </c>
      <c r="CH37" s="9">
        <f t="shared" si="11"/>
        <v>15.392072335991211</v>
      </c>
      <c r="CI37" s="9">
        <f t="shared" si="12"/>
        <v>1.7002129715518528</v>
      </c>
      <c r="CJ37" s="5">
        <v>71.341090026171216</v>
      </c>
      <c r="CK37" s="5">
        <v>7.098699400885204</v>
      </c>
      <c r="CL37" s="5">
        <v>73.375499896783623</v>
      </c>
    </row>
    <row r="38" spans="1:90" x14ac:dyDescent="0.25">
      <c r="A38" s="2" t="s">
        <v>195</v>
      </c>
      <c r="B38" s="1" t="s">
        <v>36</v>
      </c>
      <c r="C38" s="1" t="s">
        <v>321</v>
      </c>
      <c r="D38" s="1" t="s">
        <v>335</v>
      </c>
      <c r="E38" s="1" t="s">
        <v>329</v>
      </c>
      <c r="F38" s="21">
        <v>71.881965890499998</v>
      </c>
      <c r="G38" s="22">
        <v>1.3097271040400002E-2</v>
      </c>
      <c r="H38" s="22">
        <v>5.7556651592299997E-4</v>
      </c>
      <c r="I38" s="22">
        <v>66905584.328100003</v>
      </c>
      <c r="J38" s="22">
        <v>48183.152694600001</v>
      </c>
      <c r="K38" s="22">
        <f t="shared" si="15"/>
        <v>1.4918485377266726</v>
      </c>
      <c r="L38" s="22">
        <f t="shared" si="16"/>
        <v>2.7182262487916953</v>
      </c>
      <c r="M38" s="22">
        <f t="shared" si="17"/>
        <v>1.3885680074147217</v>
      </c>
      <c r="N38" s="21">
        <v>62.722980815900002</v>
      </c>
      <c r="O38" s="21">
        <v>9.1589853726299992</v>
      </c>
      <c r="P38" s="22">
        <v>1.1435256293799999E-2</v>
      </c>
      <c r="Q38" s="22">
        <v>1.6620148591400001E-3</v>
      </c>
      <c r="R38" s="23">
        <v>14.475259786000001</v>
      </c>
      <c r="S38" s="23">
        <v>48.247721219399999</v>
      </c>
      <c r="T38" s="23">
        <v>0</v>
      </c>
      <c r="U38" s="23">
        <v>2.1779243784500002</v>
      </c>
      <c r="V38" s="23">
        <v>6.98106089869</v>
      </c>
      <c r="W38" s="23">
        <v>0</v>
      </c>
      <c r="X38" s="22">
        <v>1.2875341668700001E-3</v>
      </c>
      <c r="Y38" s="22">
        <v>1.01477220874E-2</v>
      </c>
      <c r="Z38" s="22">
        <v>0</v>
      </c>
      <c r="AA38" s="22">
        <v>1.93720327666E-4</v>
      </c>
      <c r="AB38" s="22">
        <v>1.4682945415500001E-3</v>
      </c>
      <c r="AC38" s="22">
        <v>0</v>
      </c>
      <c r="AD38" s="21">
        <v>12.9441373218</v>
      </c>
      <c r="AE38" s="21">
        <v>0.90998050692700005</v>
      </c>
      <c r="AF38" s="21">
        <v>0.62114198509200003</v>
      </c>
      <c r="AG38" s="21">
        <v>1.94229209203</v>
      </c>
      <c r="AH38" s="21">
        <v>0.23563230956600001</v>
      </c>
      <c r="AI38" s="21">
        <v>0</v>
      </c>
      <c r="AJ38" s="21">
        <v>43.096448802699996</v>
      </c>
      <c r="AK38" s="21">
        <v>3.0678690555400001</v>
      </c>
      <c r="AL38" s="21">
        <v>2.0834035925299998</v>
      </c>
      <c r="AM38" s="21">
        <v>6.22577137677</v>
      </c>
      <c r="AN38" s="21">
        <v>0.75528953834500001</v>
      </c>
      <c r="AO38" s="21">
        <v>0</v>
      </c>
      <c r="AP38" s="22">
        <v>9.0642784865000003E-3</v>
      </c>
      <c r="AQ38" s="22">
        <v>6.4525083784400001E-4</v>
      </c>
      <c r="AR38" s="22">
        <v>4.3819272878100002E-4</v>
      </c>
      <c r="AS38" s="22">
        <v>1.15134506931E-3</v>
      </c>
      <c r="AT38" s="22">
        <v>8.0940239652300006E-5</v>
      </c>
      <c r="AU38" s="22">
        <v>5.52488543271E-5</v>
      </c>
      <c r="AV38" s="22">
        <v>1.7276148699000001E-4</v>
      </c>
      <c r="AW38" s="22">
        <v>2.0958839507299999E-5</v>
      </c>
      <c r="AX38" s="22">
        <v>0</v>
      </c>
      <c r="AY38" s="22">
        <v>1.3094379481199999E-3</v>
      </c>
      <c r="AZ38" s="22">
        <v>1.5885658622299999E-4</v>
      </c>
      <c r="BA38" s="22">
        <v>0</v>
      </c>
      <c r="BB38" s="7">
        <v>57.565013021200002</v>
      </c>
      <c r="BC38" s="1">
        <v>3.2140464716000003E-3</v>
      </c>
      <c r="BD38" s="9">
        <v>0.05</v>
      </c>
      <c r="BE38" s="9">
        <v>0.05</v>
      </c>
      <c r="BF38" s="10">
        <v>0.9</v>
      </c>
      <c r="BG38" s="11">
        <v>-41.646855252999998</v>
      </c>
      <c r="BH38" s="15">
        <v>776.88888888888891</v>
      </c>
      <c r="BI38" s="20">
        <v>0.97462006079027352</v>
      </c>
      <c r="BJ38" s="15">
        <v>757.17149611617697</v>
      </c>
      <c r="BK38" s="13">
        <f t="shared" si="13"/>
        <v>43169782.912929557</v>
      </c>
      <c r="BL38" s="13">
        <f t="shared" si="10"/>
        <v>23735801.41517045</v>
      </c>
      <c r="BM38" s="14">
        <v>64.523437537333436</v>
      </c>
      <c r="BN38" s="14">
        <v>35.476562462666564</v>
      </c>
      <c r="BO38" s="16">
        <v>16.706778152520144</v>
      </c>
      <c r="BP38" s="16">
        <v>6.1319383548810196</v>
      </c>
      <c r="BQ38" s="16">
        <v>2.4569586363636366</v>
      </c>
      <c r="BR38" s="16">
        <v>0.49984000000000001</v>
      </c>
      <c r="BS38" s="16">
        <v>0.14135454545454548</v>
      </c>
      <c r="BT38" s="16">
        <v>53.99909090909091</v>
      </c>
      <c r="BU38" s="16">
        <v>35.199999999999996</v>
      </c>
      <c r="BV38" s="16">
        <v>14.135454545454547</v>
      </c>
      <c r="BW38" s="16">
        <f>BT38*4</f>
        <v>215.99636363636364</v>
      </c>
      <c r="BX38" s="16">
        <f>BU38*1.29</f>
        <v>45.407999999999994</v>
      </c>
      <c r="BY38" s="16">
        <f>BV38*1.47</f>
        <v>20.779118181818184</v>
      </c>
      <c r="BZ38" s="16">
        <v>8.5599999999999999E-3</v>
      </c>
      <c r="CA38" s="16">
        <f t="shared" si="18"/>
        <v>192.48670228571427</v>
      </c>
      <c r="CB38" s="9">
        <f t="shared" si="19"/>
        <v>1149.9832294984699</v>
      </c>
      <c r="CC38" s="16">
        <f t="shared" si="20"/>
        <v>13.901153208106928</v>
      </c>
      <c r="CD38" s="16">
        <f t="shared" si="21"/>
        <v>45.305997886609212</v>
      </c>
      <c r="CE38" s="17">
        <f t="shared" si="22"/>
        <v>1209.1903805931861</v>
      </c>
      <c r="CF38" s="9">
        <f t="shared" si="23"/>
        <v>582.53414371369684</v>
      </c>
      <c r="CG38" s="18">
        <v>140336.36363636365</v>
      </c>
      <c r="CH38" s="9">
        <f t="shared" si="11"/>
        <v>3.6398859762952642</v>
      </c>
      <c r="CI38" s="9">
        <f t="shared" si="12"/>
        <v>0.31805759194306549</v>
      </c>
      <c r="CJ38" s="5">
        <v>59.269765454088429</v>
      </c>
      <c r="CK38" s="5">
        <v>0</v>
      </c>
      <c r="CL38" s="5">
        <v>59.269765454088429</v>
      </c>
    </row>
    <row r="39" spans="1:90" x14ac:dyDescent="0.25">
      <c r="A39" s="2" t="s">
        <v>196</v>
      </c>
      <c r="B39" s="1" t="s">
        <v>37</v>
      </c>
      <c r="C39" s="1" t="s">
        <v>324</v>
      </c>
      <c r="D39" s="1" t="s">
        <v>343</v>
      </c>
      <c r="E39" s="1" t="s">
        <v>344</v>
      </c>
      <c r="F39" s="21">
        <v>11.3910358514</v>
      </c>
      <c r="G39" s="22">
        <v>1.5431930745799999E-3</v>
      </c>
      <c r="H39" s="22">
        <v>9.666761755939999E-8</v>
      </c>
      <c r="I39" s="22">
        <v>23353827.420400001</v>
      </c>
      <c r="J39" s="22">
        <v>49679.822691399997</v>
      </c>
      <c r="K39" s="22">
        <f t="shared" si="15"/>
        <v>0.22928897959557101</v>
      </c>
      <c r="L39" s="22">
        <f t="shared" si="16"/>
        <v>0.31062773395266968</v>
      </c>
      <c r="M39" s="22">
        <f t="shared" si="17"/>
        <v>0.47008677074933986</v>
      </c>
      <c r="N39" s="21">
        <v>4.3089039327399998</v>
      </c>
      <c r="O39" s="21">
        <v>7.0821318981400001</v>
      </c>
      <c r="P39" s="22">
        <v>6.0149978938599995E-4</v>
      </c>
      <c r="Q39" s="22">
        <v>9.4169328069400001E-4</v>
      </c>
      <c r="R39" s="23">
        <v>1.7258091182699999</v>
      </c>
      <c r="S39" s="23">
        <v>2.5830948036699999</v>
      </c>
      <c r="T39" s="23">
        <v>0</v>
      </c>
      <c r="U39" s="23">
        <v>3.3920747207500002</v>
      </c>
      <c r="V39" s="23">
        <v>3.6900571589300002</v>
      </c>
      <c r="W39" s="23">
        <v>0</v>
      </c>
      <c r="X39" s="22">
        <v>1.5350592719800001E-4</v>
      </c>
      <c r="Y39" s="22">
        <v>4.4799386128200003E-4</v>
      </c>
      <c r="Z39" s="22">
        <v>0</v>
      </c>
      <c r="AA39" s="22">
        <v>3.0171562800300001E-4</v>
      </c>
      <c r="AB39" s="22">
        <v>6.3997766072500001E-4</v>
      </c>
      <c r="AC39" s="22">
        <v>0</v>
      </c>
      <c r="AD39" s="21">
        <v>0.208462826716</v>
      </c>
      <c r="AE39" s="21">
        <v>0.67524410459299999</v>
      </c>
      <c r="AF39" s="21">
        <v>0.84210218330999997</v>
      </c>
      <c r="AG39" s="21">
        <v>0.58611977600499998</v>
      </c>
      <c r="AH39" s="21">
        <v>2.8059549560299999</v>
      </c>
      <c r="AI39" s="21">
        <v>0</v>
      </c>
      <c r="AJ39" s="21">
        <v>0.31241708500800003</v>
      </c>
      <c r="AK39" s="21">
        <v>1.0044413531700001</v>
      </c>
      <c r="AL39" s="21">
        <v>1.26623636836</v>
      </c>
      <c r="AM39" s="21">
        <v>0.63760843756399999</v>
      </c>
      <c r="AN39" s="21">
        <v>3.0524487339499999</v>
      </c>
      <c r="AO39" s="21">
        <v>0</v>
      </c>
      <c r="AP39" s="22">
        <v>5.4183429983000004E-5</v>
      </c>
      <c r="AQ39" s="22">
        <v>1.7420327018099999E-4</v>
      </c>
      <c r="AR39" s="22">
        <v>2.1960716215700001E-4</v>
      </c>
      <c r="AS39" s="22">
        <v>1.8542189353999999E-5</v>
      </c>
      <c r="AT39" s="22">
        <v>6.0061087268200004E-5</v>
      </c>
      <c r="AU39" s="22">
        <v>7.4902650157299995E-5</v>
      </c>
      <c r="AV39" s="22">
        <v>5.2133725955899998E-5</v>
      </c>
      <c r="AW39" s="22">
        <v>2.4958190104999999E-4</v>
      </c>
      <c r="AX39" s="22">
        <v>0</v>
      </c>
      <c r="AY39" s="22">
        <v>1.10582339093E-4</v>
      </c>
      <c r="AZ39" s="22">
        <v>5.2939531739599999E-4</v>
      </c>
      <c r="BA39" s="22">
        <v>0</v>
      </c>
      <c r="BB39" s="7">
        <v>2273.7797781899999</v>
      </c>
      <c r="BC39" s="1">
        <v>3.6001513137499996E-2</v>
      </c>
      <c r="BD39" s="9">
        <v>0.58499999999999996</v>
      </c>
      <c r="BE39" s="9">
        <v>0.28499999999999998</v>
      </c>
      <c r="BF39" s="10">
        <v>0.13</v>
      </c>
      <c r="BG39" s="11">
        <v>-20.068725718700001</v>
      </c>
      <c r="BH39" s="15">
        <v>624.11111111111109</v>
      </c>
      <c r="BI39" s="20">
        <v>1.0003968253968254</v>
      </c>
      <c r="BJ39" s="15">
        <v>624.35877425044089</v>
      </c>
      <c r="BK39" s="13">
        <f t="shared" si="13"/>
        <v>1736565.8905642242</v>
      </c>
      <c r="BL39" s="13">
        <f t="shared" si="10"/>
        <v>21617261.529835772</v>
      </c>
      <c r="BM39" s="14">
        <v>7.4358941654561583</v>
      </c>
      <c r="BN39" s="14">
        <v>92.564105834543824</v>
      </c>
      <c r="BO39" s="16">
        <v>3.8380752346650064</v>
      </c>
      <c r="BP39" s="16">
        <v>1.6099430183712555</v>
      </c>
      <c r="BQ39" s="16">
        <v>3.7528813636363636</v>
      </c>
      <c r="BR39" s="16">
        <v>0.21896399999999999</v>
      </c>
      <c r="BS39" s="16">
        <v>9.978181818181818E-2</v>
      </c>
      <c r="BT39" s="16">
        <v>82.480909090909094</v>
      </c>
      <c r="BU39" s="16">
        <v>15.419999999999998</v>
      </c>
      <c r="BV39" s="16">
        <v>9.9781818181818203</v>
      </c>
      <c r="BW39" s="16">
        <f>BT39*6.87</f>
        <v>566.6438454545455</v>
      </c>
      <c r="BX39" s="16">
        <f>BU39*1.57</f>
        <v>24.209399999999999</v>
      </c>
      <c r="BY39" s="16">
        <f>BV39*0.61</f>
        <v>6.08669090909091</v>
      </c>
      <c r="BZ39" s="16">
        <v>7.1999999999999998E-3</v>
      </c>
      <c r="CA39" s="16">
        <f t="shared" si="18"/>
        <v>247.30133142857142</v>
      </c>
      <c r="CB39" s="9">
        <f t="shared" si="19"/>
        <v>264.18751198610795</v>
      </c>
      <c r="CC39" s="16">
        <f t="shared" si="20"/>
        <v>3.1935344669235968</v>
      </c>
      <c r="CD39" s="16">
        <f t="shared" si="21"/>
        <v>10.408220357205721</v>
      </c>
      <c r="CE39" s="17">
        <f t="shared" si="22"/>
        <v>277.78926681023728</v>
      </c>
      <c r="CF39" s="9">
        <f t="shared" si="23"/>
        <v>152.94458674526928</v>
      </c>
      <c r="CG39" s="18">
        <v>2813801.8181818188</v>
      </c>
      <c r="CH39" s="9">
        <f t="shared" si="11"/>
        <v>26.786395633039682</v>
      </c>
      <c r="CI39" s="9">
        <f t="shared" si="12"/>
        <v>3.5875273145847837</v>
      </c>
      <c r="CJ39" s="5">
        <v>58.402437926927085</v>
      </c>
      <c r="CK39" s="5">
        <v>17.802585193312677</v>
      </c>
      <c r="CL39" s="5">
        <v>65.80787935332701</v>
      </c>
    </row>
    <row r="40" spans="1:90" x14ac:dyDescent="0.25">
      <c r="A40" s="2" t="s">
        <v>197</v>
      </c>
      <c r="B40" s="1" t="s">
        <v>38</v>
      </c>
      <c r="C40" s="1" t="s">
        <v>324</v>
      </c>
      <c r="D40" s="1" t="s">
        <v>326</v>
      </c>
      <c r="E40" s="1" t="s">
        <v>326</v>
      </c>
      <c r="F40" s="21">
        <v>127.05488365799999</v>
      </c>
      <c r="G40" s="22">
        <v>1.4228756271899999E-2</v>
      </c>
      <c r="H40" s="22">
        <v>5.4504984371199999E-6</v>
      </c>
      <c r="I40" s="22">
        <v>92061689.820899993</v>
      </c>
      <c r="J40" s="22">
        <v>527419.93738300004</v>
      </c>
      <c r="K40" s="22">
        <f t="shared" si="15"/>
        <v>0.24089890171469894</v>
      </c>
      <c r="L40" s="22">
        <f t="shared" si="16"/>
        <v>0.26978040197914266</v>
      </c>
      <c r="M40" s="22">
        <f t="shared" si="17"/>
        <v>0.17455102337939674</v>
      </c>
      <c r="N40" s="21">
        <v>105.312397709</v>
      </c>
      <c r="O40" s="21">
        <v>21.7424861358</v>
      </c>
      <c r="P40" s="22">
        <v>1.1729699321800001E-2</v>
      </c>
      <c r="Q40" s="22">
        <v>2.49905695744E-3</v>
      </c>
      <c r="R40" s="23">
        <v>48.281469093299997</v>
      </c>
      <c r="S40" s="23">
        <v>57.030928489200001</v>
      </c>
      <c r="T40" s="23">
        <v>0</v>
      </c>
      <c r="U40" s="23">
        <v>8.10010385032</v>
      </c>
      <c r="V40" s="23">
        <v>13.6423822678</v>
      </c>
      <c r="W40" s="23">
        <v>0</v>
      </c>
      <c r="X40" s="22">
        <v>4.2945025710699998E-3</v>
      </c>
      <c r="Y40" s="22">
        <v>7.4351967507699998E-3</v>
      </c>
      <c r="Z40" s="22">
        <v>0</v>
      </c>
      <c r="AA40" s="22">
        <v>7.2048173850499991E-4</v>
      </c>
      <c r="AB40" s="22">
        <v>1.7785752173500001E-3</v>
      </c>
      <c r="AC40" s="22">
        <v>0</v>
      </c>
      <c r="AD40" s="21">
        <v>0.29172900177099997</v>
      </c>
      <c r="AE40" s="21">
        <v>47.465181485899997</v>
      </c>
      <c r="AF40" s="21">
        <v>0.52455869668400001</v>
      </c>
      <c r="AG40" s="21">
        <v>3.8061031852900003E-2</v>
      </c>
      <c r="AH40" s="21">
        <v>8.0620428262200008</v>
      </c>
      <c r="AI40" s="21">
        <v>0</v>
      </c>
      <c r="AJ40" s="21">
        <v>0.34894435932699996</v>
      </c>
      <c r="AK40" s="21">
        <v>56.051044686099999</v>
      </c>
      <c r="AL40" s="21">
        <v>0.630939393939</v>
      </c>
      <c r="AM40" s="21">
        <v>6.4103270001099999E-2</v>
      </c>
      <c r="AN40" s="21">
        <v>13.578278986300001</v>
      </c>
      <c r="AO40" s="21">
        <v>0</v>
      </c>
      <c r="AP40" s="22">
        <v>4.5492332565600002E-5</v>
      </c>
      <c r="AQ40" s="22">
        <v>7.3074480147500001E-3</v>
      </c>
      <c r="AR40" s="22">
        <v>8.2256394213499998E-5</v>
      </c>
      <c r="AS40" s="22">
        <v>2.5948484420200001E-5</v>
      </c>
      <c r="AT40" s="22">
        <v>4.2218960478400003E-3</v>
      </c>
      <c r="AU40" s="22">
        <v>4.6658038939400003E-5</v>
      </c>
      <c r="AV40" s="22">
        <v>3.3854230619999998E-6</v>
      </c>
      <c r="AW40" s="22">
        <v>7.1709631438100004E-4</v>
      </c>
      <c r="AX40" s="22">
        <v>0</v>
      </c>
      <c r="AY40" s="22">
        <v>8.3572271616499995E-6</v>
      </c>
      <c r="AZ40" s="22">
        <v>1.7702179929400001E-3</v>
      </c>
      <c r="BA40" s="22">
        <v>0</v>
      </c>
      <c r="BB40" s="7">
        <v>17419.758266500001</v>
      </c>
      <c r="BC40" s="1">
        <v>0.275812838896</v>
      </c>
      <c r="BD40" s="9">
        <v>2.1000000000000001E-2</v>
      </c>
      <c r="BE40" s="9">
        <v>0.97</v>
      </c>
      <c r="BF40" s="10">
        <v>0.01</v>
      </c>
      <c r="BG40" s="11">
        <v>-16.804947918500002</v>
      </c>
      <c r="BH40" s="15">
        <v>490.44444444444446</v>
      </c>
      <c r="BI40" s="20">
        <v>0.95696202531645569</v>
      </c>
      <c r="BJ40" s="15">
        <v>469.33670886075953</v>
      </c>
      <c r="BK40" s="13">
        <f t="shared" si="13"/>
        <v>70448830.453746364</v>
      </c>
      <c r="BL40" s="13">
        <f t="shared" si="10"/>
        <v>21612859.367153615</v>
      </c>
      <c r="BM40" s="14">
        <v>76.523503523343933</v>
      </c>
      <c r="BN40" s="14">
        <v>23.47649647665606</v>
      </c>
      <c r="BO40" s="16">
        <v>9.6213414968245399</v>
      </c>
      <c r="BP40" s="16">
        <v>4.0358280187621931</v>
      </c>
      <c r="BQ40" s="16">
        <v>6.5593627272727275</v>
      </c>
      <c r="BR40" s="16">
        <v>0.33522327272727276</v>
      </c>
      <c r="BS40" s="16">
        <v>0.36560909090909094</v>
      </c>
      <c r="BT40" s="16">
        <v>144.16181818181818</v>
      </c>
      <c r="BU40" s="16">
        <v>23.607272727272722</v>
      </c>
      <c r="BV40" s="16">
        <v>36.560909090909085</v>
      </c>
      <c r="BW40" s="16">
        <f>BT40*5.62</f>
        <v>810.18941818181816</v>
      </c>
      <c r="BX40" s="16">
        <f>BU40*1.47</f>
        <v>34.702690909090904</v>
      </c>
      <c r="BY40" s="16">
        <f>BV40*1.45</f>
        <v>53.013318181818171</v>
      </c>
      <c r="BZ40" s="16">
        <v>7.1999999999999998E-3</v>
      </c>
      <c r="CA40" s="16">
        <f t="shared" si="18"/>
        <v>432.23832000000004</v>
      </c>
      <c r="CB40" s="9">
        <f t="shared" si="19"/>
        <v>662.2690063647558</v>
      </c>
      <c r="CC40" s="16">
        <f t="shared" si="20"/>
        <v>8.0055975481244737</v>
      </c>
      <c r="CD40" s="16">
        <f t="shared" si="21"/>
        <v>26.091474582472014</v>
      </c>
      <c r="CE40" s="17">
        <f t="shared" si="22"/>
        <v>696.36607849535221</v>
      </c>
      <c r="CF40" s="9">
        <f t="shared" si="23"/>
        <v>383.40366178240834</v>
      </c>
      <c r="CG40" s="18">
        <v>12066727.272727272</v>
      </c>
      <c r="CH40" s="9">
        <f t="shared" si="11"/>
        <v>252.40413397078331</v>
      </c>
      <c r="CI40" s="9">
        <f t="shared" si="12"/>
        <v>29.079768805138766</v>
      </c>
      <c r="CJ40" s="5">
        <v>55.402772231846306</v>
      </c>
      <c r="CK40" s="5">
        <v>28.066584179085126</v>
      </c>
      <c r="CL40" s="5">
        <v>67.919690704933487</v>
      </c>
    </row>
    <row r="41" spans="1:90" x14ac:dyDescent="0.25">
      <c r="A41" s="2" t="s">
        <v>198</v>
      </c>
      <c r="B41" s="1" t="s">
        <v>39</v>
      </c>
      <c r="C41" s="1" t="s">
        <v>324</v>
      </c>
      <c r="D41" s="1" t="s">
        <v>349</v>
      </c>
      <c r="E41" s="1" t="s">
        <v>326</v>
      </c>
      <c r="F41" s="21">
        <v>188.18864119899999</v>
      </c>
      <c r="G41" s="22">
        <v>1.7462893466500002E-2</v>
      </c>
      <c r="H41" s="22">
        <v>1.4901931583900001E-6</v>
      </c>
      <c r="I41" s="22">
        <v>98018023.582300007</v>
      </c>
      <c r="J41" s="22">
        <v>438175.53092300001</v>
      </c>
      <c r="K41" s="22">
        <f t="shared" si="15"/>
        <v>0.42948231454775171</v>
      </c>
      <c r="L41" s="22">
        <f t="shared" si="16"/>
        <v>0.39853648216537979</v>
      </c>
      <c r="M41" s="22">
        <f t="shared" si="17"/>
        <v>0.22369579464154191</v>
      </c>
      <c r="N41" s="21">
        <v>188.18864119899999</v>
      </c>
      <c r="O41" s="21">
        <v>0</v>
      </c>
      <c r="P41" s="22">
        <v>1.7462893466500002E-2</v>
      </c>
      <c r="Q41" s="22">
        <v>0</v>
      </c>
      <c r="R41" s="23">
        <v>135.58124269800001</v>
      </c>
      <c r="S41" s="23">
        <v>52.607399264000001</v>
      </c>
      <c r="T41" s="23">
        <v>0</v>
      </c>
      <c r="U41" s="23">
        <v>0</v>
      </c>
      <c r="V41" s="23">
        <v>0</v>
      </c>
      <c r="W41" s="23">
        <v>0</v>
      </c>
      <c r="X41" s="22">
        <v>1.2059574889E-2</v>
      </c>
      <c r="Y41" s="22">
        <v>5.4033185590300001E-3</v>
      </c>
      <c r="Z41" s="22">
        <v>0</v>
      </c>
      <c r="AA41" s="22">
        <v>0</v>
      </c>
      <c r="AB41" s="22">
        <v>0</v>
      </c>
      <c r="AC41" s="22">
        <v>0</v>
      </c>
      <c r="AD41" s="21">
        <v>8.0109426939399988</v>
      </c>
      <c r="AE41" s="21">
        <v>127.57029984100001</v>
      </c>
      <c r="AF41" s="21">
        <v>0</v>
      </c>
      <c r="AG41" s="21">
        <v>0</v>
      </c>
      <c r="AH41" s="21">
        <v>0</v>
      </c>
      <c r="AI41" s="21">
        <v>0</v>
      </c>
      <c r="AJ41" s="21">
        <v>3.1777529756200003</v>
      </c>
      <c r="AK41" s="21">
        <v>49.429646251400001</v>
      </c>
      <c r="AL41" s="21">
        <v>0</v>
      </c>
      <c r="AM41" s="21">
        <v>0</v>
      </c>
      <c r="AN41" s="21">
        <v>0</v>
      </c>
      <c r="AO41" s="21">
        <v>0</v>
      </c>
      <c r="AP41" s="22">
        <v>3.2638777076400002E-4</v>
      </c>
      <c r="AQ41" s="22">
        <v>5.0769307969799997E-3</v>
      </c>
      <c r="AR41" s="22">
        <v>0</v>
      </c>
      <c r="AS41" s="22">
        <v>7.1255110024199999E-4</v>
      </c>
      <c r="AT41" s="22">
        <v>1.13470237839E-2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0</v>
      </c>
      <c r="BA41" s="22">
        <v>0</v>
      </c>
      <c r="BB41" s="7">
        <v>1829.2685160000001</v>
      </c>
      <c r="BC41" s="1">
        <v>2.8963418329700001E-2</v>
      </c>
      <c r="BD41" s="9">
        <v>0</v>
      </c>
      <c r="BE41" s="9">
        <v>0.9</v>
      </c>
      <c r="BF41" s="10">
        <v>0.1</v>
      </c>
      <c r="BG41" s="11">
        <v>-8.8507548253500001</v>
      </c>
      <c r="BH41" s="15">
        <v>415</v>
      </c>
      <c r="BI41" s="20">
        <v>0.89098039215686275</v>
      </c>
      <c r="BJ41" s="15">
        <v>369.75686274509803</v>
      </c>
      <c r="BK41" s="13">
        <f t="shared" si="13"/>
        <v>98018023.582300022</v>
      </c>
      <c r="BL41" s="13">
        <f t="shared" si="10"/>
        <v>0</v>
      </c>
      <c r="BM41" s="14">
        <v>100</v>
      </c>
      <c r="BN41" s="14">
        <v>0</v>
      </c>
      <c r="BO41" s="16">
        <v>8.4670867669500769</v>
      </c>
      <c r="BP41" s="16">
        <v>3.55165711794201</v>
      </c>
      <c r="BQ41" s="16">
        <v>3.8691131818181828</v>
      </c>
      <c r="BR41" s="16">
        <v>0.22038400000000002</v>
      </c>
      <c r="BS41" s="16">
        <v>0.33772727272727271</v>
      </c>
      <c r="BT41" s="16">
        <v>85.035454545454542</v>
      </c>
      <c r="BU41" s="16">
        <v>15.52</v>
      </c>
      <c r="BV41" s="16">
        <v>33.772727272727266</v>
      </c>
      <c r="BW41" s="16">
        <f>BT41*5.66</f>
        <v>481.30067272727274</v>
      </c>
      <c r="BX41" s="16">
        <f>BU41*1.36</f>
        <v>21.107200000000002</v>
      </c>
      <c r="BY41" s="16">
        <f>BV41*1.36</f>
        <v>45.930909090909083</v>
      </c>
      <c r="BZ41" s="16">
        <v>7.1999999999999998E-3</v>
      </c>
      <c r="CA41" s="16">
        <f t="shared" si="18"/>
        <v>254.96058857142853</v>
      </c>
      <c r="CB41" s="9">
        <f t="shared" si="19"/>
        <v>582.81780579173028</v>
      </c>
      <c r="CC41" s="16">
        <f t="shared" si="20"/>
        <v>7.0451806625535944</v>
      </c>
      <c r="CD41" s="16">
        <f t="shared" si="21"/>
        <v>22.961328130840784</v>
      </c>
      <c r="CE41" s="17">
        <f t="shared" si="22"/>
        <v>612.82431458512463</v>
      </c>
      <c r="CF41" s="9">
        <f t="shared" si="23"/>
        <v>337.40742620449095</v>
      </c>
      <c r="CG41" s="18">
        <v>2336090.9090909092</v>
      </c>
      <c r="CH41" s="9">
        <f t="shared" si="11"/>
        <v>38.419277128956956</v>
      </c>
      <c r="CI41" s="9">
        <f t="shared" si="12"/>
        <v>4.0964080876338702</v>
      </c>
      <c r="CJ41" s="5">
        <v>63.291242205610473</v>
      </c>
      <c r="CK41" s="5">
        <v>27.344946302385654</v>
      </c>
      <c r="CL41" s="5">
        <v>73.329232312759103</v>
      </c>
    </row>
    <row r="42" spans="1:90" x14ac:dyDescent="0.25">
      <c r="A42" s="2" t="s">
        <v>199</v>
      </c>
      <c r="B42" s="1" t="s">
        <v>40</v>
      </c>
      <c r="C42" s="1" t="s">
        <v>332</v>
      </c>
      <c r="D42" s="1" t="s">
        <v>333</v>
      </c>
      <c r="E42" s="1" t="s">
        <v>339</v>
      </c>
      <c r="F42" s="21">
        <v>1315.1175204199999</v>
      </c>
      <c r="G42" s="22">
        <v>0.154768900742</v>
      </c>
      <c r="H42" s="22">
        <v>3.2115823701E-6</v>
      </c>
      <c r="I42" s="22">
        <v>2800777479.9000001</v>
      </c>
      <c r="J42" s="22">
        <v>295580.00836500002</v>
      </c>
      <c r="K42" s="22">
        <f t="shared" si="15"/>
        <v>4.4492776344874221</v>
      </c>
      <c r="L42" s="22">
        <f t="shared" si="16"/>
        <v>5.2361085446239661</v>
      </c>
      <c r="M42" s="22">
        <f t="shared" si="17"/>
        <v>9.4755308229148945</v>
      </c>
      <c r="N42" s="21">
        <v>1315.1175204199999</v>
      </c>
      <c r="O42" s="21">
        <v>0</v>
      </c>
      <c r="P42" s="22">
        <v>0.154768900742</v>
      </c>
      <c r="Q42" s="22">
        <v>0</v>
      </c>
      <c r="R42" s="23">
        <v>918.47200291499996</v>
      </c>
      <c r="S42" s="23">
        <v>396.64551632799999</v>
      </c>
      <c r="T42" s="23">
        <v>0</v>
      </c>
      <c r="U42" s="23">
        <v>0</v>
      </c>
      <c r="V42" s="23">
        <v>0</v>
      </c>
      <c r="W42" s="23">
        <v>0</v>
      </c>
      <c r="X42" s="22">
        <v>8.1695533829200001E-2</v>
      </c>
      <c r="Y42" s="22">
        <v>7.3073366781399987E-2</v>
      </c>
      <c r="Z42" s="22">
        <v>0</v>
      </c>
      <c r="AA42" s="22">
        <v>0</v>
      </c>
      <c r="AB42" s="22">
        <v>0</v>
      </c>
      <c r="AC42" s="22">
        <v>0</v>
      </c>
      <c r="AD42" s="21">
        <v>0</v>
      </c>
      <c r="AE42" s="21">
        <v>0</v>
      </c>
      <c r="AF42" s="21">
        <v>918.47200351499998</v>
      </c>
      <c r="AG42" s="21">
        <v>0</v>
      </c>
      <c r="AH42" s="21">
        <v>0</v>
      </c>
      <c r="AI42" s="21">
        <v>0</v>
      </c>
      <c r="AJ42" s="21">
        <v>0</v>
      </c>
      <c r="AK42" s="21">
        <v>0</v>
      </c>
      <c r="AL42" s="21">
        <v>396.64551495300003</v>
      </c>
      <c r="AM42" s="21">
        <v>0</v>
      </c>
      <c r="AN42" s="21">
        <v>0</v>
      </c>
      <c r="AO42" s="21">
        <v>0</v>
      </c>
      <c r="AP42" s="22">
        <v>0</v>
      </c>
      <c r="AQ42" s="22">
        <v>0</v>
      </c>
      <c r="AR42" s="22">
        <v>7.3073366792800007E-2</v>
      </c>
      <c r="AS42" s="22">
        <v>0</v>
      </c>
      <c r="AT42" s="22">
        <v>0</v>
      </c>
      <c r="AU42" s="22">
        <v>8.1695533670000001E-2</v>
      </c>
      <c r="AV42" s="22">
        <v>0</v>
      </c>
      <c r="AW42" s="22">
        <v>0</v>
      </c>
      <c r="AX42" s="22">
        <v>0</v>
      </c>
      <c r="AY42" s="22">
        <v>0</v>
      </c>
      <c r="AZ42" s="22">
        <v>0</v>
      </c>
      <c r="BA42" s="22">
        <v>0</v>
      </c>
      <c r="BB42" s="7">
        <v>297.60267943100001</v>
      </c>
      <c r="BC42" s="1">
        <v>5.8693862004299997E-3</v>
      </c>
      <c r="BD42" s="9">
        <v>1</v>
      </c>
      <c r="BE42" s="9">
        <v>0</v>
      </c>
      <c r="BF42" s="10">
        <v>0</v>
      </c>
      <c r="BG42" s="11">
        <v>-32.704070271399999</v>
      </c>
      <c r="BH42" s="15">
        <v>663.22222222222217</v>
      </c>
      <c r="BI42" s="20">
        <v>1</v>
      </c>
      <c r="BJ42" s="15">
        <v>663.22222222222217</v>
      </c>
      <c r="BK42" s="13">
        <f t="shared" si="13"/>
        <v>615765343.21383607</v>
      </c>
      <c r="BL42" s="13">
        <f t="shared" si="10"/>
        <v>2185012136.6861639</v>
      </c>
      <c r="BM42" s="14">
        <v>21.985514652018036</v>
      </c>
      <c r="BN42" s="14">
        <v>78.01448534798196</v>
      </c>
      <c r="BO42" s="16">
        <v>0.15603662211740041</v>
      </c>
      <c r="BP42" s="16">
        <v>6.545209643605869E-2</v>
      </c>
      <c r="BQ42" s="16">
        <v>1.7151845454545454</v>
      </c>
      <c r="BR42" s="16">
        <v>0.11400018181818182</v>
      </c>
      <c r="BS42" s="16">
        <v>9.1409090909090912E-2</v>
      </c>
      <c r="BT42" s="16">
        <v>37.696363636363635</v>
      </c>
      <c r="BU42" s="16">
        <v>8.0281818181818192</v>
      </c>
      <c r="BV42" s="16">
        <v>9.1409090909090907</v>
      </c>
      <c r="BW42" s="16">
        <f>BT42*3.53</f>
        <v>133.06816363636364</v>
      </c>
      <c r="BX42" s="16">
        <f>BU42*0.54</f>
        <v>4.335218181818183</v>
      </c>
      <c r="BY42" s="16">
        <f>BV42*1.02</f>
        <v>9.3237272727272718</v>
      </c>
      <c r="BZ42" s="16">
        <v>2.4420000000000001E-2</v>
      </c>
      <c r="CA42" s="16">
        <f t="shared" si="18"/>
        <v>383.34132257142852</v>
      </c>
      <c r="CB42" s="9">
        <f t="shared" si="19"/>
        <v>10.740520822414394</v>
      </c>
      <c r="CC42" s="16">
        <f t="shared" si="20"/>
        <v>0.12983287204315164</v>
      </c>
      <c r="CD42" s="16">
        <f t="shared" si="21"/>
        <v>0.42314531307870368</v>
      </c>
      <c r="CE42" s="17">
        <f t="shared" si="22"/>
        <v>11.29349900753625</v>
      </c>
      <c r="CF42" s="9">
        <f t="shared" si="23"/>
        <v>6.217949161425576</v>
      </c>
      <c r="CG42" s="18">
        <v>1242909.0909090911</v>
      </c>
      <c r="CH42" s="9">
        <f t="shared" si="11"/>
        <v>2.6624138583858832</v>
      </c>
      <c r="CI42" s="9">
        <f t="shared" si="12"/>
        <v>0.68059201064122987</v>
      </c>
      <c r="CJ42" s="5">
        <v>70.208689156657343</v>
      </c>
      <c r="CK42" s="5">
        <v>0.36654144083337664</v>
      </c>
      <c r="CL42" s="5">
        <v>70.317886656665678</v>
      </c>
    </row>
    <row r="43" spans="1:90" x14ac:dyDescent="0.25">
      <c r="A43" s="2" t="s">
        <v>200</v>
      </c>
      <c r="B43" s="1" t="s">
        <v>41</v>
      </c>
      <c r="C43" s="1" t="s">
        <v>327</v>
      </c>
      <c r="D43" s="1" t="s">
        <v>328</v>
      </c>
      <c r="E43" s="1" t="s">
        <v>329</v>
      </c>
      <c r="F43" s="21">
        <v>4272.2577449999999</v>
      </c>
      <c r="G43" s="22">
        <v>0.52409404484099997</v>
      </c>
      <c r="H43" s="22">
        <v>1.44831188172E-4</v>
      </c>
      <c r="I43" s="22">
        <v>3349288820.9899998</v>
      </c>
      <c r="J43" s="22">
        <v>566584.43274399999</v>
      </c>
      <c r="K43" s="22">
        <f t="shared" si="15"/>
        <v>7.5403726225043242</v>
      </c>
      <c r="L43" s="22">
        <f t="shared" si="16"/>
        <v>9.2500607950483786</v>
      </c>
      <c r="M43" s="22">
        <f t="shared" si="17"/>
        <v>5.9113675339952554</v>
      </c>
      <c r="N43" s="21">
        <v>4151.99704268</v>
      </c>
      <c r="O43" s="21">
        <v>120.26071923000001</v>
      </c>
      <c r="P43" s="22">
        <v>0.50935843270600001</v>
      </c>
      <c r="Q43" s="22">
        <v>1.4735611781400001E-2</v>
      </c>
      <c r="R43" s="23">
        <v>2415.5165541400002</v>
      </c>
      <c r="S43" s="23">
        <v>1736.4804744200001</v>
      </c>
      <c r="T43" s="23">
        <v>0</v>
      </c>
      <c r="U43" s="23">
        <v>70.184121592799997</v>
      </c>
      <c r="V43" s="23">
        <v>50.076597636099997</v>
      </c>
      <c r="W43" s="23">
        <v>0</v>
      </c>
      <c r="X43" s="22">
        <v>0.21485348757799999</v>
      </c>
      <c r="Y43" s="22">
        <v>0.29450494529300003</v>
      </c>
      <c r="Z43" s="22">
        <v>0</v>
      </c>
      <c r="AA43" s="22">
        <v>6.2426826544599995E-3</v>
      </c>
      <c r="AB43" s="22">
        <v>8.4929291311800006E-3</v>
      </c>
      <c r="AC43" s="22">
        <v>0</v>
      </c>
      <c r="AD43" s="21">
        <v>0</v>
      </c>
      <c r="AE43" s="21">
        <v>248.75952357</v>
      </c>
      <c r="AF43" s="21">
        <v>2166.75703221</v>
      </c>
      <c r="AG43" s="21">
        <v>0</v>
      </c>
      <c r="AH43" s="21">
        <v>70.1841215396</v>
      </c>
      <c r="AI43" s="21">
        <v>0</v>
      </c>
      <c r="AJ43" s="21">
        <v>0</v>
      </c>
      <c r="AK43" s="21">
        <v>177.65008050200001</v>
      </c>
      <c r="AL43" s="21">
        <v>1558.8303920000001</v>
      </c>
      <c r="AM43" s="21">
        <v>0</v>
      </c>
      <c r="AN43" s="21">
        <v>50.0765976271</v>
      </c>
      <c r="AO43" s="21">
        <v>0</v>
      </c>
      <c r="AP43" s="22">
        <v>0</v>
      </c>
      <c r="AQ43" s="22">
        <v>3.01292343465E-2</v>
      </c>
      <c r="AR43" s="22">
        <v>0.26437571078</v>
      </c>
      <c r="AS43" s="22">
        <v>0</v>
      </c>
      <c r="AT43" s="22">
        <v>2.21264685817E-2</v>
      </c>
      <c r="AU43" s="22">
        <v>0.192727019193</v>
      </c>
      <c r="AV43" s="22">
        <v>0</v>
      </c>
      <c r="AW43" s="22">
        <v>6.2426826561899993E-3</v>
      </c>
      <c r="AX43" s="22">
        <v>0</v>
      </c>
      <c r="AY43" s="22">
        <v>0</v>
      </c>
      <c r="AZ43" s="22">
        <v>8.4929291324599993E-3</v>
      </c>
      <c r="BA43" s="22">
        <v>0</v>
      </c>
      <c r="BB43" s="7">
        <v>1696.9125277099999</v>
      </c>
      <c r="BC43" s="1">
        <v>5.7506480184099998E-2</v>
      </c>
      <c r="BD43" s="9">
        <v>0.92200000000000004</v>
      </c>
      <c r="BE43" s="9">
        <v>7.8E-2</v>
      </c>
      <c r="BF43" s="10">
        <v>0</v>
      </c>
      <c r="BG43" s="11">
        <v>-35.166190835000002</v>
      </c>
      <c r="BH43" s="15">
        <v>610.55555555555554</v>
      </c>
      <c r="BI43" s="20">
        <v>1</v>
      </c>
      <c r="BJ43" s="15">
        <v>610.55555555555554</v>
      </c>
      <c r="BK43" s="13">
        <f t="shared" si="13"/>
        <v>1930757157.3528552</v>
      </c>
      <c r="BL43" s="13">
        <f t="shared" si="10"/>
        <v>1418531663.6371446</v>
      </c>
      <c r="BM43" s="14">
        <v>57.646779974685856</v>
      </c>
      <c r="BN43" s="14">
        <v>42.353220025314137</v>
      </c>
      <c r="BO43" s="16">
        <v>1.16101453157504</v>
      </c>
      <c r="BP43" s="16">
        <v>0.42613060829237809</v>
      </c>
      <c r="BQ43" s="16">
        <v>0.22121272727272726</v>
      </c>
      <c r="BR43" s="16">
        <v>5.6851636363636354E-2</v>
      </c>
      <c r="BS43" s="16">
        <v>2.7209090909090908E-2</v>
      </c>
      <c r="BT43" s="16">
        <v>4.8618181818181814</v>
      </c>
      <c r="BU43" s="16">
        <v>4.0036363636363639</v>
      </c>
      <c r="BV43" s="16">
        <v>2.7209090909090907</v>
      </c>
      <c r="BW43" s="16">
        <f>BT43*5.66</f>
        <v>27.517890909090909</v>
      </c>
      <c r="BX43" s="16">
        <f>BU43*1.36</f>
        <v>5.4449454545454552</v>
      </c>
      <c r="BY43" s="16">
        <f>BV43*1.36</f>
        <v>3.7004363636363635</v>
      </c>
      <c r="BZ43" s="16">
        <v>2.96E-3</v>
      </c>
      <c r="CA43" s="16">
        <f t="shared" si="18"/>
        <v>5.9928159999999986</v>
      </c>
      <c r="CB43" s="9">
        <f t="shared" si="19"/>
        <v>79.916500256748577</v>
      </c>
      <c r="CC43" s="16">
        <f t="shared" si="20"/>
        <v>0.96604149123920502</v>
      </c>
      <c r="CD43" s="16">
        <f t="shared" si="21"/>
        <v>3.1484779072095792</v>
      </c>
      <c r="CE43" s="17">
        <f t="shared" si="22"/>
        <v>84.031019655197369</v>
      </c>
      <c r="CF43" s="9">
        <f t="shared" si="23"/>
        <v>40.482407787775919</v>
      </c>
      <c r="CG43" s="18">
        <v>8312972.7272727266</v>
      </c>
      <c r="CH43" s="9">
        <f t="shared" si="11"/>
        <v>15.731624163937999</v>
      </c>
      <c r="CI43" s="9">
        <f t="shared" si="12"/>
        <v>1.3896756287546319</v>
      </c>
      <c r="CJ43" s="5">
        <v>67.796453782387928</v>
      </c>
      <c r="CK43" s="5">
        <v>47.730849035577968</v>
      </c>
      <c r="CL43" s="5">
        <v>83.167479811618918</v>
      </c>
    </row>
    <row r="44" spans="1:90" x14ac:dyDescent="0.25">
      <c r="A44" s="2" t="s">
        <v>201</v>
      </c>
      <c r="B44" s="1" t="s">
        <v>42</v>
      </c>
      <c r="C44" s="1" t="s">
        <v>334</v>
      </c>
      <c r="D44" s="1" t="s">
        <v>334</v>
      </c>
      <c r="E44" s="1" t="s">
        <v>339</v>
      </c>
      <c r="F44" s="21">
        <v>4292.2609978600003</v>
      </c>
      <c r="G44" s="22">
        <v>0.37414053082199999</v>
      </c>
      <c r="H44" s="22">
        <v>0</v>
      </c>
      <c r="I44" s="22">
        <v>7519052040.6000004</v>
      </c>
      <c r="J44" s="22">
        <v>845860.49901699997</v>
      </c>
      <c r="K44" s="22">
        <f t="shared" si="15"/>
        <v>5.074431307346976</v>
      </c>
      <c r="L44" s="22">
        <f t="shared" si="16"/>
        <v>4.4231942649739526</v>
      </c>
      <c r="M44" s="22">
        <f t="shared" si="17"/>
        <v>8.8892341578051202</v>
      </c>
      <c r="N44" s="21">
        <v>2403.89799812</v>
      </c>
      <c r="O44" s="21">
        <v>1888.3630111099999</v>
      </c>
      <c r="P44" s="22">
        <v>0.20942298539600002</v>
      </c>
      <c r="Q44" s="22">
        <v>0.16471754450199999</v>
      </c>
      <c r="R44" s="23">
        <v>1589.5173501700001</v>
      </c>
      <c r="S44" s="23">
        <v>814.38065122099999</v>
      </c>
      <c r="T44" s="23">
        <v>0</v>
      </c>
      <c r="U44" s="23">
        <v>1286.9673927900001</v>
      </c>
      <c r="V44" s="23">
        <v>601.39561705000006</v>
      </c>
      <c r="W44" s="23">
        <v>0</v>
      </c>
      <c r="X44" s="22">
        <v>0.141383152604</v>
      </c>
      <c r="Y44" s="22">
        <v>6.8039833198500002E-2</v>
      </c>
      <c r="Z44" s="22">
        <v>0</v>
      </c>
      <c r="AA44" s="22">
        <v>0.114472174346</v>
      </c>
      <c r="AB44" s="22">
        <v>5.0245370174000006E-2</v>
      </c>
      <c r="AC44" s="22">
        <v>0</v>
      </c>
      <c r="AD44" s="21">
        <v>29.7788845607</v>
      </c>
      <c r="AE44" s="21">
        <v>401.78074304099999</v>
      </c>
      <c r="AF44" s="21">
        <v>1157.9577223199999</v>
      </c>
      <c r="AG44" s="21">
        <v>64.692062671300008</v>
      </c>
      <c r="AH44" s="21">
        <v>1222.27533081</v>
      </c>
      <c r="AI44" s="21">
        <v>0</v>
      </c>
      <c r="AJ44" s="21">
        <v>15.809167184900002</v>
      </c>
      <c r="AK44" s="21">
        <v>203.15294740200002</v>
      </c>
      <c r="AL44" s="21">
        <v>595.41853956500006</v>
      </c>
      <c r="AM44" s="21">
        <v>30.2303873625</v>
      </c>
      <c r="AN44" s="21">
        <v>571.16522926199991</v>
      </c>
      <c r="AO44" s="21">
        <v>0</v>
      </c>
      <c r="AP44" s="22">
        <v>1.3208234882499999E-3</v>
      </c>
      <c r="AQ44" s="22">
        <v>1.6973012058399999E-2</v>
      </c>
      <c r="AR44" s="22">
        <v>4.9745997527300002E-2</v>
      </c>
      <c r="AS44" s="22">
        <v>2.6487490575000001E-3</v>
      </c>
      <c r="AT44" s="22">
        <v>3.5737280969400001E-2</v>
      </c>
      <c r="AU44" s="22">
        <v>0.10299712270399999</v>
      </c>
      <c r="AV44" s="22">
        <v>5.7541792686700002E-3</v>
      </c>
      <c r="AW44" s="22">
        <v>0.108717995269</v>
      </c>
      <c r="AX44" s="22">
        <v>0</v>
      </c>
      <c r="AY44" s="22">
        <v>2.5256868549399999E-3</v>
      </c>
      <c r="AZ44" s="22">
        <v>4.7719683365499997E-2</v>
      </c>
      <c r="BA44" s="22">
        <v>0</v>
      </c>
      <c r="BB44" s="7">
        <v>2931.3258229600001</v>
      </c>
      <c r="BC44" s="1">
        <v>5.7812259152500003E-2</v>
      </c>
      <c r="BD44" s="9">
        <v>0.77800000000000002</v>
      </c>
      <c r="BE44" s="9">
        <v>0.19900000000000001</v>
      </c>
      <c r="BF44" s="10">
        <v>2.3E-2</v>
      </c>
      <c r="BG44" s="11">
        <v>-39.918798331200001</v>
      </c>
      <c r="BH44" s="15">
        <v>316.55555555555554</v>
      </c>
      <c r="BI44" s="20">
        <v>0.95014164305949</v>
      </c>
      <c r="BJ44" s="15">
        <v>300.77261567516518</v>
      </c>
      <c r="BK44" s="13">
        <f t="shared" si="13"/>
        <v>1164386468.1801889</v>
      </c>
      <c r="BL44" s="13">
        <f t="shared" si="10"/>
        <v>6354665572.4198122</v>
      </c>
      <c r="BM44" s="14">
        <v>15.48581472628395</v>
      </c>
      <c r="BN44" s="14">
        <v>84.514185273716052</v>
      </c>
      <c r="BO44" s="16">
        <v>0.88174363057324845</v>
      </c>
      <c r="BP44" s="16">
        <v>0.36986169244767969</v>
      </c>
      <c r="BQ44" s="16">
        <v>2.4331331818181821</v>
      </c>
      <c r="BR44" s="16">
        <v>0.21614981818181817</v>
      </c>
      <c r="BS44" s="16">
        <v>0.26837272727272726</v>
      </c>
      <c r="BT44" s="16">
        <v>53.475454545454546</v>
      </c>
      <c r="BU44" s="16">
        <v>15.221818181818181</v>
      </c>
      <c r="BV44" s="16">
        <v>26.837272727272726</v>
      </c>
      <c r="BW44" s="16">
        <f>BT44*3.53</f>
        <v>188.76835454545454</v>
      </c>
      <c r="BX44" s="16">
        <f>BU44*0.54</f>
        <v>8.2197818181818185</v>
      </c>
      <c r="BY44" s="16">
        <f>BV44*1.02</f>
        <v>27.37401818181818</v>
      </c>
      <c r="BZ44" s="16">
        <v>2.4420000000000001E-2</v>
      </c>
      <c r="CA44" s="16">
        <f t="shared" si="18"/>
        <v>543.80182842857141</v>
      </c>
      <c r="CB44" s="9">
        <f t="shared" si="19"/>
        <v>60.693353237791932</v>
      </c>
      <c r="CC44" s="16">
        <f t="shared" si="20"/>
        <v>0.73366948354564765</v>
      </c>
      <c r="CD44" s="16">
        <f t="shared" si="21"/>
        <v>2.3911417688428878</v>
      </c>
      <c r="CE44" s="17">
        <f t="shared" si="22"/>
        <v>63.818164490180465</v>
      </c>
      <c r="CF44" s="9">
        <f t="shared" si="23"/>
        <v>35.136860782529574</v>
      </c>
      <c r="CG44" s="18">
        <v>2580563.6363636362</v>
      </c>
      <c r="CH44" s="9">
        <f t="shared" si="11"/>
        <v>10.759043456895069</v>
      </c>
      <c r="CI44" s="9">
        <f t="shared" si="12"/>
        <v>2.237655781081227</v>
      </c>
      <c r="CJ44" s="5">
        <v>32.779875469052719</v>
      </c>
      <c r="CK44" s="5">
        <v>11.926696103406062</v>
      </c>
      <c r="CL44" s="5">
        <v>40.79701544218991</v>
      </c>
    </row>
    <row r="45" spans="1:90" x14ac:dyDescent="0.25">
      <c r="A45" s="2" t="s">
        <v>202</v>
      </c>
      <c r="B45" s="1" t="s">
        <v>43</v>
      </c>
      <c r="C45" s="1" t="s">
        <v>327</v>
      </c>
      <c r="D45" s="1" t="s">
        <v>328</v>
      </c>
      <c r="E45" s="1" t="s">
        <v>329</v>
      </c>
      <c r="F45" s="21">
        <v>26057.859800900002</v>
      </c>
      <c r="G45" s="22">
        <v>2.5198545499499998</v>
      </c>
      <c r="H45" s="22">
        <v>2.04157725349E-5</v>
      </c>
      <c r="I45" s="22">
        <v>61902705503.300003</v>
      </c>
      <c r="J45" s="22">
        <v>3389065.7774700001</v>
      </c>
      <c r="K45" s="22">
        <f t="shared" si="15"/>
        <v>7.6888032017934664</v>
      </c>
      <c r="L45" s="22">
        <f t="shared" si="16"/>
        <v>7.4352482819944488</v>
      </c>
      <c r="M45" s="22">
        <f t="shared" si="17"/>
        <v>18.265418722416037</v>
      </c>
      <c r="N45" s="21">
        <v>19880.525292800001</v>
      </c>
      <c r="O45" s="21">
        <v>6177.3344726900004</v>
      </c>
      <c r="P45" s="22">
        <v>1.92822513647</v>
      </c>
      <c r="Q45" s="22">
        <v>0.59162940704199996</v>
      </c>
      <c r="R45" s="23">
        <v>15259.0023029</v>
      </c>
      <c r="S45" s="23">
        <v>4621.5230607499998</v>
      </c>
      <c r="T45" s="23">
        <v>0</v>
      </c>
      <c r="U45" s="23">
        <v>4958.49369183</v>
      </c>
      <c r="V45" s="23">
        <v>1218.8407805300001</v>
      </c>
      <c r="W45" s="23">
        <v>0</v>
      </c>
      <c r="X45" s="22">
        <v>1.35724586393</v>
      </c>
      <c r="Y45" s="22">
        <v>0.57097927341100008</v>
      </c>
      <c r="Z45" s="22">
        <v>0</v>
      </c>
      <c r="AA45" s="22">
        <v>0.44104424130499997</v>
      </c>
      <c r="AB45" s="22">
        <v>0.15058516764800001</v>
      </c>
      <c r="AC45" s="22">
        <v>0</v>
      </c>
      <c r="AD45" s="21">
        <v>887.49910124300004</v>
      </c>
      <c r="AE45" s="21">
        <v>848.43745501000001</v>
      </c>
      <c r="AF45" s="21">
        <v>13523.065706200001</v>
      </c>
      <c r="AG45" s="21">
        <v>1850.3439704</v>
      </c>
      <c r="AH45" s="21">
        <v>3108.14971638</v>
      </c>
      <c r="AI45" s="21">
        <v>0</v>
      </c>
      <c r="AJ45" s="21">
        <v>268.49542991100003</v>
      </c>
      <c r="AK45" s="21">
        <v>254.53275610200001</v>
      </c>
      <c r="AL45" s="21">
        <v>4098.4948838800001</v>
      </c>
      <c r="AM45" s="21">
        <v>454.83060654600001</v>
      </c>
      <c r="AN45" s="21">
        <v>764.01017258299999</v>
      </c>
      <c r="AO45" s="21">
        <v>0</v>
      </c>
      <c r="AP45" s="22">
        <v>3.3172035223099999E-2</v>
      </c>
      <c r="AQ45" s="22">
        <v>3.1446976657400004E-2</v>
      </c>
      <c r="AR45" s="22">
        <v>0.50636026258</v>
      </c>
      <c r="AS45" s="22">
        <v>7.8940579844899994E-2</v>
      </c>
      <c r="AT45" s="22">
        <v>7.5466154898199994E-2</v>
      </c>
      <c r="AU45" s="22">
        <v>1.2028391306399999</v>
      </c>
      <c r="AV45" s="22">
        <v>0.164582956803</v>
      </c>
      <c r="AW45" s="22">
        <v>0.27646128402999998</v>
      </c>
      <c r="AX45" s="22">
        <v>0</v>
      </c>
      <c r="AY45" s="22">
        <v>5.6193347210199994E-2</v>
      </c>
      <c r="AZ45" s="22">
        <v>9.43918202406E-2</v>
      </c>
      <c r="BA45" s="22">
        <v>0</v>
      </c>
      <c r="BB45" s="7">
        <v>2303.9867336799998</v>
      </c>
      <c r="BC45" s="1">
        <v>7.8079550087000002E-2</v>
      </c>
      <c r="BD45" s="9">
        <v>0.88500000000000001</v>
      </c>
      <c r="BE45" s="9">
        <v>0.05</v>
      </c>
      <c r="BF45" s="10">
        <v>6.5000000000000002E-2</v>
      </c>
      <c r="BG45" s="11">
        <v>-28.948985160599999</v>
      </c>
      <c r="BH45" s="15">
        <v>444.66666666666669</v>
      </c>
      <c r="BI45" s="20">
        <v>1.0002375296912114</v>
      </c>
      <c r="BJ45" s="15">
        <v>444.77228820269204</v>
      </c>
      <c r="BK45" s="13">
        <f t="shared" si="13"/>
        <v>2386775431.9423604</v>
      </c>
      <c r="BL45" s="13">
        <f t="shared" si="10"/>
        <v>59515930071.357635</v>
      </c>
      <c r="BM45" s="14">
        <v>3.8556883944517133</v>
      </c>
      <c r="BN45" s="14">
        <v>96.144311605548282</v>
      </c>
      <c r="BO45" s="16">
        <v>2.4312115525582758</v>
      </c>
      <c r="BP45" s="16">
        <v>0.89233478962029023</v>
      </c>
      <c r="BQ45" s="16">
        <v>15.450145454545453</v>
      </c>
      <c r="BR45" s="16">
        <v>0.68605363636363637</v>
      </c>
      <c r="BS45" s="16">
        <v>0.13699090909090908</v>
      </c>
      <c r="BT45" s="16">
        <v>339.56363636363636</v>
      </c>
      <c r="BU45" s="16">
        <v>48.31363636363637</v>
      </c>
      <c r="BV45" s="16">
        <v>13.699090909090909</v>
      </c>
      <c r="BW45" s="16">
        <f t="shared" ref="BW45:BW51" si="24">BT45*5.66</f>
        <v>1921.9301818181818</v>
      </c>
      <c r="BX45" s="16">
        <f t="shared" ref="BX45:BY51" si="25">BU45*1.36</f>
        <v>65.706545454545463</v>
      </c>
      <c r="BY45" s="16">
        <f t="shared" si="25"/>
        <v>18.630763636363639</v>
      </c>
      <c r="BZ45" s="16">
        <v>2.96E-3</v>
      </c>
      <c r="CA45" s="16">
        <f t="shared" si="18"/>
        <v>418.55583999999999</v>
      </c>
      <c r="CB45" s="9">
        <f t="shared" si="19"/>
        <v>167.34839520109463</v>
      </c>
      <c r="CC45" s="16">
        <f t="shared" si="20"/>
        <v>2.022930092498656</v>
      </c>
      <c r="CD45" s="16">
        <f t="shared" si="21"/>
        <v>6.5930405286126179</v>
      </c>
      <c r="CE45" s="17">
        <f t="shared" si="22"/>
        <v>175.96436582220591</v>
      </c>
      <c r="CF45" s="9">
        <f t="shared" si="23"/>
        <v>84.771805013927576</v>
      </c>
      <c r="CG45" s="18">
        <v>3494181.8181818179</v>
      </c>
      <c r="CH45" s="9">
        <f t="shared" si="11"/>
        <v>68.474559822543199</v>
      </c>
      <c r="CI45" s="9">
        <f t="shared" si="12"/>
        <v>9.3838331826435848</v>
      </c>
      <c r="CJ45" s="5">
        <v>63.127260203108705</v>
      </c>
      <c r="CK45" s="5">
        <v>5.574167871463211</v>
      </c>
      <c r="CL45" s="5">
        <v>65.182608618195246</v>
      </c>
    </row>
    <row r="46" spans="1:90" x14ac:dyDescent="0.25">
      <c r="A46" s="2" t="s">
        <v>203</v>
      </c>
      <c r="B46" s="1" t="s">
        <v>44</v>
      </c>
      <c r="C46" s="1" t="s">
        <v>327</v>
      </c>
      <c r="D46" s="1" t="s">
        <v>345</v>
      </c>
      <c r="E46" s="1" t="s">
        <v>331</v>
      </c>
      <c r="F46" s="21">
        <v>126.035657015</v>
      </c>
      <c r="G46" s="22">
        <v>1.1924899436399999E-2</v>
      </c>
      <c r="H46" s="22">
        <v>1.4365715794299999E-6</v>
      </c>
      <c r="I46" s="22">
        <v>215277660.139</v>
      </c>
      <c r="J46" s="22">
        <v>19939.4654462</v>
      </c>
      <c r="K46" s="22">
        <f t="shared" si="15"/>
        <v>6.3209145378077061</v>
      </c>
      <c r="L46" s="22">
        <f t="shared" si="16"/>
        <v>5.9805512181735088</v>
      </c>
      <c r="M46" s="22">
        <f t="shared" si="17"/>
        <v>10.796561257865964</v>
      </c>
      <c r="N46" s="21">
        <v>126.035657015</v>
      </c>
      <c r="O46" s="21">
        <v>0</v>
      </c>
      <c r="P46" s="22">
        <v>1.1924899436399999E-2</v>
      </c>
      <c r="Q46" s="22">
        <v>0</v>
      </c>
      <c r="R46" s="23">
        <v>118.820866321</v>
      </c>
      <c r="S46" s="23">
        <v>7.2147906771899999</v>
      </c>
      <c r="T46" s="23">
        <v>0</v>
      </c>
      <c r="U46" s="23">
        <v>0</v>
      </c>
      <c r="V46" s="23">
        <v>0</v>
      </c>
      <c r="W46" s="23">
        <v>0</v>
      </c>
      <c r="X46" s="22">
        <v>1.0568786033799999E-2</v>
      </c>
      <c r="Y46" s="22">
        <v>1.3561134344199999E-3</v>
      </c>
      <c r="Z46" s="22">
        <v>0</v>
      </c>
      <c r="AA46" s="22">
        <v>0</v>
      </c>
      <c r="AB46" s="22">
        <v>0</v>
      </c>
      <c r="AC46" s="22">
        <v>0</v>
      </c>
      <c r="AD46" s="21">
        <v>0</v>
      </c>
      <c r="AE46" s="21">
        <v>0</v>
      </c>
      <c r="AF46" s="21">
        <v>118.82086639399999</v>
      </c>
      <c r="AG46" s="21">
        <v>0</v>
      </c>
      <c r="AH46" s="21">
        <v>0</v>
      </c>
      <c r="AI46" s="21">
        <v>0</v>
      </c>
      <c r="AJ46" s="21">
        <v>0</v>
      </c>
      <c r="AK46" s="21">
        <v>0</v>
      </c>
      <c r="AL46" s="21">
        <v>7.2147906705000002</v>
      </c>
      <c r="AM46" s="21">
        <v>0</v>
      </c>
      <c r="AN46" s="21">
        <v>0</v>
      </c>
      <c r="AO46" s="21">
        <v>0</v>
      </c>
      <c r="AP46" s="22">
        <v>0</v>
      </c>
      <c r="AQ46" s="22">
        <v>0</v>
      </c>
      <c r="AR46" s="22">
        <v>1.3561134311300001E-3</v>
      </c>
      <c r="AS46" s="22">
        <v>0</v>
      </c>
      <c r="AT46" s="22">
        <v>0</v>
      </c>
      <c r="AU46" s="22">
        <v>1.05687860319E-2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7">
        <v>94.291681006600001</v>
      </c>
      <c r="BC46" s="1">
        <v>3.1954403066599998E-3</v>
      </c>
      <c r="BD46" s="9">
        <v>1</v>
      </c>
      <c r="BE46" s="9">
        <v>0</v>
      </c>
      <c r="BF46" s="10">
        <v>0</v>
      </c>
      <c r="BG46" s="11">
        <v>-44.884997933800001</v>
      </c>
      <c r="BH46" s="15">
        <v>676.66666666666663</v>
      </c>
      <c r="BI46" s="20">
        <v>1</v>
      </c>
      <c r="BJ46" s="15">
        <v>676.66666666666663</v>
      </c>
      <c r="BK46" s="13">
        <f t="shared" si="13"/>
        <v>38514910.346960977</v>
      </c>
      <c r="BL46" s="13">
        <f t="shared" si="10"/>
        <v>176762749.79203904</v>
      </c>
      <c r="BM46" s="14">
        <v>17.890806840845798</v>
      </c>
      <c r="BN46" s="14">
        <v>82.109193159154202</v>
      </c>
      <c r="BO46" s="16">
        <v>9.1336557610241814E-2</v>
      </c>
      <c r="BP46" s="16">
        <v>3.3523527738264579E-2</v>
      </c>
      <c r="BQ46" s="16">
        <v>0.12184900000000001</v>
      </c>
      <c r="BR46" s="16">
        <v>3.8197999999999996E-2</v>
      </c>
      <c r="BS46" s="16">
        <v>5.0000000000000002E-5</v>
      </c>
      <c r="BT46" s="16">
        <v>2.6779999999999999</v>
      </c>
      <c r="BU46" s="16">
        <v>2.69</v>
      </c>
      <c r="BV46" s="16">
        <v>5.0000000000000001E-3</v>
      </c>
      <c r="BW46" s="16">
        <f t="shared" si="24"/>
        <v>15.15748</v>
      </c>
      <c r="BX46" s="16">
        <f t="shared" si="25"/>
        <v>3.6584000000000003</v>
      </c>
      <c r="BY46" s="16">
        <f t="shared" si="25"/>
        <v>6.8000000000000005E-3</v>
      </c>
      <c r="BZ46" s="16">
        <v>2.96E-3</v>
      </c>
      <c r="CA46" s="16">
        <f t="shared" si="18"/>
        <v>3.3009793142857138</v>
      </c>
      <c r="CB46" s="9">
        <f t="shared" si="19"/>
        <v>6.2869997155049777</v>
      </c>
      <c r="CC46" s="16">
        <f t="shared" si="20"/>
        <v>7.5998105035561869E-2</v>
      </c>
      <c r="CD46" s="16">
        <f t="shared" si="21"/>
        <v>0.24768952147937412</v>
      </c>
      <c r="CE46" s="17">
        <f t="shared" si="22"/>
        <v>6.6106873420199133</v>
      </c>
      <c r="CF46" s="9">
        <f t="shared" si="23"/>
        <v>3.184735135135135</v>
      </c>
      <c r="CG46" s="18">
        <v>628636.36363636365</v>
      </c>
      <c r="CH46" s="9">
        <f t="shared" si="11"/>
        <v>0.17913438592590197</v>
      </c>
      <c r="CI46" s="9">
        <f t="shared" si="12"/>
        <v>2.0065495507982988E-2</v>
      </c>
      <c r="CJ46" s="5">
        <v>68.155305065594249</v>
      </c>
      <c r="CK46" s="5">
        <v>17.52882411538781</v>
      </c>
      <c r="CL46" s="5">
        <v>73.737305630728045</v>
      </c>
    </row>
    <row r="47" spans="1:90" x14ac:dyDescent="0.25">
      <c r="A47" s="2" t="s">
        <v>204</v>
      </c>
      <c r="B47" s="1" t="s">
        <v>45</v>
      </c>
      <c r="C47" s="1" t="s">
        <v>324</v>
      </c>
      <c r="D47" s="1" t="s">
        <v>325</v>
      </c>
      <c r="E47" s="1" t="s">
        <v>326</v>
      </c>
      <c r="F47" s="21">
        <v>25693.5461144</v>
      </c>
      <c r="G47" s="22">
        <v>2.3655890747099999</v>
      </c>
      <c r="H47" s="22">
        <v>7.7403693215500002E-2</v>
      </c>
      <c r="I47" s="22">
        <v>19542340745</v>
      </c>
      <c r="J47" s="22">
        <v>3538064.66457</v>
      </c>
      <c r="K47" s="22">
        <f t="shared" si="15"/>
        <v>7.2620340639033163</v>
      </c>
      <c r="L47" s="22">
        <f t="shared" si="16"/>
        <v>6.6861103427500606</v>
      </c>
      <c r="M47" s="22">
        <f t="shared" si="17"/>
        <v>5.523454938711553</v>
      </c>
      <c r="N47" s="21">
        <v>18440.028558099999</v>
      </c>
      <c r="O47" s="21">
        <v>7253.51756054</v>
      </c>
      <c r="P47" s="22">
        <v>1.69863767438</v>
      </c>
      <c r="Q47" s="22">
        <v>0.66695139929299996</v>
      </c>
      <c r="R47" s="23">
        <v>12292.117025699999</v>
      </c>
      <c r="S47" s="23">
        <v>6147.9115131999997</v>
      </c>
      <c r="T47" s="23">
        <v>0</v>
      </c>
      <c r="U47" s="23">
        <v>4963.5101597399998</v>
      </c>
      <c r="V47" s="23">
        <v>2290.0074019600002</v>
      </c>
      <c r="W47" s="23">
        <v>0</v>
      </c>
      <c r="X47" s="22">
        <v>1.0933496650199999</v>
      </c>
      <c r="Y47" s="22">
        <v>0.60528800830600005</v>
      </c>
      <c r="Z47" s="22">
        <v>0</v>
      </c>
      <c r="AA47" s="22">
        <v>0.44149044210799998</v>
      </c>
      <c r="AB47" s="22">
        <v>0.22546095721600001</v>
      </c>
      <c r="AC47" s="22">
        <v>0</v>
      </c>
      <c r="AD47" s="21">
        <v>5742.1477011499992</v>
      </c>
      <c r="AE47" s="21">
        <v>3431.0104898699997</v>
      </c>
      <c r="AF47" s="21">
        <v>3118.95884591</v>
      </c>
      <c r="AG47" s="21">
        <v>2442.11914308</v>
      </c>
      <c r="AH47" s="21">
        <v>2521.3910186100002</v>
      </c>
      <c r="AI47" s="21">
        <v>0</v>
      </c>
      <c r="AJ47" s="21">
        <v>2871.02472657</v>
      </c>
      <c r="AK47" s="21">
        <v>1702.6642558800002</v>
      </c>
      <c r="AL47" s="21">
        <v>1574.22254131</v>
      </c>
      <c r="AM47" s="21">
        <v>1126.7169255699998</v>
      </c>
      <c r="AN47" s="21">
        <v>1163.29047335</v>
      </c>
      <c r="AO47" s="21">
        <v>0</v>
      </c>
      <c r="AP47" s="22">
        <v>0.28266458158300001</v>
      </c>
      <c r="AQ47" s="22">
        <v>0.16763452965100001</v>
      </c>
      <c r="AR47" s="22">
        <v>0.15498889693599999</v>
      </c>
      <c r="AS47" s="22">
        <v>0.51074808744800004</v>
      </c>
      <c r="AT47" s="22">
        <v>0.30517885264099998</v>
      </c>
      <c r="AU47" s="22">
        <v>0.27742272534599999</v>
      </c>
      <c r="AV47" s="22">
        <v>0.21721971428</v>
      </c>
      <c r="AW47" s="22">
        <v>0.22427072753300001</v>
      </c>
      <c r="AX47" s="22">
        <v>0</v>
      </c>
      <c r="AY47" s="22">
        <v>0.110930068011</v>
      </c>
      <c r="AZ47" s="22">
        <v>0.114530889178</v>
      </c>
      <c r="BA47" s="22">
        <v>0</v>
      </c>
      <c r="BB47" s="7">
        <v>5756.3419210100001</v>
      </c>
      <c r="BC47" s="1">
        <v>9.1142080501100009E-2</v>
      </c>
      <c r="BD47" s="9">
        <v>0.29699999999999999</v>
      </c>
      <c r="BE47" s="9">
        <v>0.22600000000000001</v>
      </c>
      <c r="BF47" s="10">
        <v>0.47799999999999998</v>
      </c>
      <c r="BG47" s="11">
        <v>-39.550123192800001</v>
      </c>
      <c r="BH47" s="15">
        <v>356.11111111111109</v>
      </c>
      <c r="BI47" s="20">
        <v>0.99529411764705888</v>
      </c>
      <c r="BJ47" s="15">
        <v>354.43529411764706</v>
      </c>
      <c r="BK47" s="13">
        <f t="shared" si="13"/>
        <v>7590878944.5320778</v>
      </c>
      <c r="BL47" s="13">
        <f t="shared" si="10"/>
        <v>11951461800.467922</v>
      </c>
      <c r="BM47" s="14">
        <v>38.843243210126914</v>
      </c>
      <c r="BN47" s="14">
        <v>61.156756789873093</v>
      </c>
      <c r="BO47" s="16">
        <v>5.7775155763960893</v>
      </c>
      <c r="BP47" s="16">
        <v>2.4234727818101018</v>
      </c>
      <c r="BQ47" s="16">
        <v>2.5341845454545457</v>
      </c>
      <c r="BR47" s="16">
        <v>0.39024181818181825</v>
      </c>
      <c r="BS47" s="16">
        <v>0.22920000000000004</v>
      </c>
      <c r="BT47" s="5">
        <v>55.696363636363643</v>
      </c>
      <c r="BU47" s="5">
        <v>27.481818181818188</v>
      </c>
      <c r="BV47" s="5">
        <v>22.92</v>
      </c>
      <c r="BW47" s="16">
        <f t="shared" si="24"/>
        <v>315.24141818181823</v>
      </c>
      <c r="BX47" s="16">
        <f t="shared" si="25"/>
        <v>37.375272727272737</v>
      </c>
      <c r="BY47" s="16">
        <f t="shared" si="25"/>
        <v>31.171200000000006</v>
      </c>
      <c r="BZ47" s="16">
        <v>7.1999999999999998E-3</v>
      </c>
      <c r="CA47" s="16">
        <f t="shared" si="18"/>
        <v>166.99361142857143</v>
      </c>
      <c r="CB47" s="9">
        <f t="shared" si="19"/>
        <v>397.68565550859745</v>
      </c>
      <c r="CC47" s="16">
        <f t="shared" si="20"/>
        <v>4.8072781272666392</v>
      </c>
      <c r="CD47" s="16">
        <f t="shared" si="21"/>
        <v>15.667659323923463</v>
      </c>
      <c r="CE47" s="17">
        <f t="shared" si="22"/>
        <v>418.16059295978755</v>
      </c>
      <c r="CF47" s="9">
        <f t="shared" si="23"/>
        <v>230.22991427195967</v>
      </c>
      <c r="CG47" s="18">
        <v>17699909.090909094</v>
      </c>
      <c r="CH47" s="9">
        <f t="shared" si="11"/>
        <v>200.97564833891127</v>
      </c>
      <c r="CI47" s="9">
        <f t="shared" si="12"/>
        <v>21.225235553741317</v>
      </c>
      <c r="CJ47" s="5">
        <v>51.82164810193882</v>
      </c>
      <c r="CK47" s="5">
        <v>7.6228688400874738</v>
      </c>
      <c r="CL47" s="5">
        <v>55.494220676443817</v>
      </c>
    </row>
    <row r="48" spans="1:90" x14ac:dyDescent="0.25">
      <c r="A48" s="2" t="s">
        <v>359</v>
      </c>
      <c r="B48" s="1" t="s">
        <v>46</v>
      </c>
      <c r="C48" s="1" t="s">
        <v>324</v>
      </c>
      <c r="D48" s="1" t="s">
        <v>349</v>
      </c>
      <c r="E48" s="1" t="s">
        <v>326</v>
      </c>
      <c r="F48" s="21">
        <v>1.2244689260599999</v>
      </c>
      <c r="G48" s="22">
        <v>1.74043352336E-4</v>
      </c>
      <c r="H48" s="22">
        <v>0</v>
      </c>
      <c r="I48" s="22">
        <v>923896.09219400003</v>
      </c>
      <c r="J48" s="22">
        <v>1360.7284563999999</v>
      </c>
      <c r="K48" s="22">
        <f t="shared" si="15"/>
        <v>0.89986280532377927</v>
      </c>
      <c r="L48" s="22">
        <f t="shared" si="16"/>
        <v>1.2790454371510416</v>
      </c>
      <c r="M48" s="22">
        <f t="shared" si="17"/>
        <v>0.67897168450367984</v>
      </c>
      <c r="N48" s="21">
        <v>0.20752975385399999</v>
      </c>
      <c r="O48" s="21">
        <v>1.01693918172</v>
      </c>
      <c r="P48" s="22">
        <v>2.9866227540200001E-5</v>
      </c>
      <c r="Q48" s="22">
        <v>1.4417712564E-4</v>
      </c>
      <c r="R48" s="23">
        <v>0.12789266999599999</v>
      </c>
      <c r="S48" s="23">
        <v>7.9637082741099999E-2</v>
      </c>
      <c r="T48" s="23">
        <v>0</v>
      </c>
      <c r="U48" s="23">
        <v>0.64187583903500001</v>
      </c>
      <c r="V48" s="23">
        <v>0.37506333646899997</v>
      </c>
      <c r="W48" s="23">
        <v>0</v>
      </c>
      <c r="X48" s="22">
        <v>1.13756977632E-5</v>
      </c>
      <c r="Y48" s="22">
        <v>1.84905300285E-5</v>
      </c>
      <c r="Z48" s="22">
        <v>0</v>
      </c>
      <c r="AA48" s="22">
        <v>5.7093071880799995E-5</v>
      </c>
      <c r="AB48" s="22">
        <v>8.7084052488200006E-5</v>
      </c>
      <c r="AC48" s="22">
        <v>0</v>
      </c>
      <c r="AD48" s="21">
        <v>0</v>
      </c>
      <c r="AE48" s="21">
        <v>0.12789267007999999</v>
      </c>
      <c r="AF48" s="21">
        <v>0</v>
      </c>
      <c r="AG48" s="21">
        <v>0</v>
      </c>
      <c r="AH48" s="21">
        <v>0.64187583628100009</v>
      </c>
      <c r="AI48" s="21">
        <v>0</v>
      </c>
      <c r="AJ48" s="21">
        <v>0</v>
      </c>
      <c r="AK48" s="21">
        <v>7.9637082778899998E-2</v>
      </c>
      <c r="AL48" s="21">
        <v>0</v>
      </c>
      <c r="AM48" s="21">
        <v>0</v>
      </c>
      <c r="AN48" s="21">
        <v>0.37506333602899999</v>
      </c>
      <c r="AO48" s="21">
        <v>0</v>
      </c>
      <c r="AP48" s="22">
        <v>0</v>
      </c>
      <c r="AQ48" s="22">
        <v>1.8490530025400001E-5</v>
      </c>
      <c r="AR48" s="22">
        <v>0</v>
      </c>
      <c r="AS48" s="22">
        <v>0</v>
      </c>
      <c r="AT48" s="22">
        <v>1.13756977256E-5</v>
      </c>
      <c r="AU48" s="22">
        <v>0</v>
      </c>
      <c r="AV48" s="22">
        <v>0</v>
      </c>
      <c r="AW48" s="22">
        <v>5.7093072011699999E-5</v>
      </c>
      <c r="AX48" s="22">
        <v>0</v>
      </c>
      <c r="AY48" s="22">
        <v>0</v>
      </c>
      <c r="AZ48" s="22">
        <v>8.7084053076199992E-5</v>
      </c>
      <c r="BA48" s="22">
        <v>0</v>
      </c>
      <c r="BB48" s="7">
        <v>7952.7817765500004</v>
      </c>
      <c r="BC48" s="1">
        <v>0.12591904484400002</v>
      </c>
      <c r="BD48" s="9">
        <v>0</v>
      </c>
      <c r="BE48" s="9">
        <v>1</v>
      </c>
      <c r="BF48" s="10">
        <v>0</v>
      </c>
      <c r="BG48" s="11">
        <v>-4.9343054218200004</v>
      </c>
      <c r="BH48" s="15">
        <v>1037.7777777777778</v>
      </c>
      <c r="BI48" s="20">
        <v>0.80543806646525673</v>
      </c>
      <c r="BJ48" s="15">
        <v>835.86572675394427</v>
      </c>
      <c r="BK48" s="13">
        <f t="shared" si="13"/>
        <v>108799.44523195412</v>
      </c>
      <c r="BL48" s="13">
        <f t="shared" si="10"/>
        <v>815096.64696204604</v>
      </c>
      <c r="BM48" s="14">
        <v>11.776156014859339</v>
      </c>
      <c r="BN48" s="14">
        <v>88.223843985140675</v>
      </c>
      <c r="BO48" s="16">
        <v>9.7995453491069355</v>
      </c>
      <c r="BP48" s="16">
        <v>4.1105785200649505</v>
      </c>
      <c r="BQ48" s="16">
        <v>1.7814077272727276</v>
      </c>
      <c r="BR48" s="16">
        <v>0.15110090909090906</v>
      </c>
      <c r="BS48" s="16">
        <v>0.15876363636363633</v>
      </c>
      <c r="BT48" s="16">
        <v>39.151818181818172</v>
      </c>
      <c r="BU48" s="16">
        <v>10.640909090909091</v>
      </c>
      <c r="BV48" s="16">
        <v>15.876363636363635</v>
      </c>
      <c r="BW48" s="16">
        <f t="shared" si="24"/>
        <v>221.59929090909085</v>
      </c>
      <c r="BX48" s="16">
        <f t="shared" si="25"/>
        <v>14.471636363636364</v>
      </c>
      <c r="BY48" s="16">
        <f t="shared" si="25"/>
        <v>21.591854545454545</v>
      </c>
      <c r="BZ48" s="16">
        <v>7.1999999999999998E-3</v>
      </c>
      <c r="CA48" s="16">
        <f t="shared" si="18"/>
        <v>117.38833714285711</v>
      </c>
      <c r="CB48" s="9">
        <f t="shared" si="19"/>
        <v>674.53537153019397</v>
      </c>
      <c r="CC48" s="16">
        <f t="shared" si="20"/>
        <v>8.1538750334802454</v>
      </c>
      <c r="CD48" s="16">
        <f t="shared" si="21"/>
        <v>26.574733729219826</v>
      </c>
      <c r="CE48" s="17">
        <f t="shared" si="22"/>
        <v>709.26398029289408</v>
      </c>
      <c r="CF48" s="9">
        <f t="shared" si="23"/>
        <v>390.50495940617031</v>
      </c>
      <c r="CG48" s="18">
        <v>628900.00000000012</v>
      </c>
      <c r="CH48" s="9">
        <f t="shared" si="11"/>
        <v>10.063278033640385</v>
      </c>
      <c r="CI48" s="9">
        <f t="shared" si="12"/>
        <v>0.92751433489133916</v>
      </c>
      <c r="CJ48" s="5">
        <v>71.06597677245864</v>
      </c>
      <c r="CK48" s="5">
        <v>12.119257302061561</v>
      </c>
      <c r="CL48" s="5">
        <v>74.572565495242628</v>
      </c>
    </row>
    <row r="49" spans="1:90" x14ac:dyDescent="0.25">
      <c r="A49" s="2" t="s">
        <v>205</v>
      </c>
      <c r="B49" s="1" t="s">
        <v>47</v>
      </c>
      <c r="C49" s="1" t="s">
        <v>327</v>
      </c>
      <c r="D49" s="1" t="s">
        <v>345</v>
      </c>
      <c r="E49" s="1" t="s">
        <v>331</v>
      </c>
      <c r="F49" s="21">
        <v>927.43072092499995</v>
      </c>
      <c r="G49" s="22">
        <v>7.5735562689500005E-2</v>
      </c>
      <c r="H49" s="22">
        <v>9.9385079666999991E-6</v>
      </c>
      <c r="I49" s="22">
        <v>12617706552.700001</v>
      </c>
      <c r="J49" s="22">
        <v>292208.47704099998</v>
      </c>
      <c r="K49" s="22">
        <f t="shared" si="15"/>
        <v>3.1738665842841769</v>
      </c>
      <c r="L49" s="22">
        <f t="shared" si="16"/>
        <v>2.5918331821315879</v>
      </c>
      <c r="M49" s="22">
        <f t="shared" si="17"/>
        <v>43.180494558101408</v>
      </c>
      <c r="N49" s="21">
        <v>483.00416926000003</v>
      </c>
      <c r="O49" s="21">
        <v>444.42655101700001</v>
      </c>
      <c r="P49" s="22">
        <v>3.91844969749E-2</v>
      </c>
      <c r="Q49" s="22">
        <v>3.6551065645399998E-2</v>
      </c>
      <c r="R49" s="23">
        <v>435.213290062</v>
      </c>
      <c r="S49" s="23">
        <v>47.790877524400003</v>
      </c>
      <c r="T49" s="23">
        <v>0</v>
      </c>
      <c r="U49" s="23">
        <v>406.73109869199999</v>
      </c>
      <c r="V49" s="23">
        <v>37.695452111800002</v>
      </c>
      <c r="W49" s="23">
        <v>0</v>
      </c>
      <c r="X49" s="22">
        <v>3.8711013104399998E-2</v>
      </c>
      <c r="Y49" s="22">
        <v>4.7348369248999999E-4</v>
      </c>
      <c r="Z49" s="22">
        <v>0</v>
      </c>
      <c r="AA49" s="22">
        <v>3.6177601432400001E-2</v>
      </c>
      <c r="AB49" s="22">
        <v>3.7346420152399996E-4</v>
      </c>
      <c r="AC49" s="22">
        <v>0</v>
      </c>
      <c r="AD49" s="21">
        <v>0</v>
      </c>
      <c r="AE49" s="21">
        <v>14.1999619829</v>
      </c>
      <c r="AF49" s="21">
        <v>421.01332778100004</v>
      </c>
      <c r="AG49" s="21">
        <v>0</v>
      </c>
      <c r="AH49" s="21">
        <v>406.73109893399999</v>
      </c>
      <c r="AI49" s="21">
        <v>0</v>
      </c>
      <c r="AJ49" s="21">
        <v>0</v>
      </c>
      <c r="AK49" s="21">
        <v>1.55729191803</v>
      </c>
      <c r="AL49" s="21">
        <v>46.233585530299997</v>
      </c>
      <c r="AM49" s="21">
        <v>0</v>
      </c>
      <c r="AN49" s="21">
        <v>37.695452118699997</v>
      </c>
      <c r="AO49" s="21">
        <v>0</v>
      </c>
      <c r="AP49" s="22">
        <v>0</v>
      </c>
      <c r="AQ49" s="22">
        <v>1.5428725528899998E-5</v>
      </c>
      <c r="AR49" s="22">
        <v>4.5805496724500003E-4</v>
      </c>
      <c r="AS49" s="22">
        <v>0</v>
      </c>
      <c r="AT49" s="22">
        <v>1.26304717445E-3</v>
      </c>
      <c r="AU49" s="22">
        <v>3.7447966051400002E-2</v>
      </c>
      <c r="AV49" s="22">
        <v>0</v>
      </c>
      <c r="AW49" s="22">
        <v>3.6177601446800003E-2</v>
      </c>
      <c r="AX49" s="22">
        <v>0</v>
      </c>
      <c r="AY49" s="22">
        <v>0</v>
      </c>
      <c r="AZ49" s="22">
        <v>3.7346420170400002E-4</v>
      </c>
      <c r="BA49" s="22">
        <v>0</v>
      </c>
      <c r="BB49" s="7">
        <v>1085.11578147</v>
      </c>
      <c r="BC49" s="1">
        <v>3.6773368173600003E-2</v>
      </c>
      <c r="BD49" s="9">
        <v>0.97799999999999998</v>
      </c>
      <c r="BE49" s="9">
        <v>2.1999999999999999E-2</v>
      </c>
      <c r="BF49" s="10">
        <v>0</v>
      </c>
      <c r="BG49" s="11">
        <v>-31.811830761</v>
      </c>
      <c r="BH49" s="15">
        <v>35.666666666666664</v>
      </c>
      <c r="BI49" s="20">
        <v>1</v>
      </c>
      <c r="BJ49" s="15">
        <v>35.666666666666664</v>
      </c>
      <c r="BK49" s="13">
        <f t="shared" si="13"/>
        <v>172940990.49878427</v>
      </c>
      <c r="BL49" s="13">
        <f t="shared" si="10"/>
        <v>12444765562.201216</v>
      </c>
      <c r="BM49" s="14">
        <v>1.3706214340654284</v>
      </c>
      <c r="BN49" s="14">
        <v>98.629378565934573</v>
      </c>
      <c r="BO49" s="16">
        <v>4.3941183300905989E-2</v>
      </c>
      <c r="BP49" s="16">
        <v>1.6127862881870989E-2</v>
      </c>
      <c r="BQ49" s="16">
        <v>0.31473590909090909</v>
      </c>
      <c r="BR49" s="16">
        <v>9.1680363636363629E-2</v>
      </c>
      <c r="BS49" s="16">
        <v>0</v>
      </c>
      <c r="BT49" s="16">
        <v>6.9172727272727279</v>
      </c>
      <c r="BU49" s="16">
        <v>6.4563636363636361</v>
      </c>
      <c r="BV49" s="16">
        <v>0</v>
      </c>
      <c r="BW49" s="16">
        <f t="shared" si="24"/>
        <v>39.15176363636364</v>
      </c>
      <c r="BX49" s="16">
        <f t="shared" si="25"/>
        <v>8.7806545454545457</v>
      </c>
      <c r="BY49" s="16">
        <f t="shared" si="25"/>
        <v>0</v>
      </c>
      <c r="BZ49" s="16">
        <v>2.96E-3</v>
      </c>
      <c r="CA49" s="16">
        <f t="shared" si="18"/>
        <v>8.526428000000001</v>
      </c>
      <c r="CB49" s="9">
        <f t="shared" si="19"/>
        <v>3.0246181172123618</v>
      </c>
      <c r="CC49" s="16">
        <f t="shared" si="20"/>
        <v>3.6561993918573843E-2</v>
      </c>
      <c r="CD49" s="16">
        <f t="shared" si="21"/>
        <v>0.1191611655815069</v>
      </c>
      <c r="CE49" s="17">
        <f t="shared" si="22"/>
        <v>3.1803412767124426</v>
      </c>
      <c r="CF49" s="9">
        <f t="shared" si="23"/>
        <v>1.532146973777744</v>
      </c>
      <c r="CG49" s="18">
        <v>13140127.272727272</v>
      </c>
      <c r="CH49" s="9">
        <f t="shared" si="11"/>
        <v>6.129676461336822</v>
      </c>
      <c r="CI49" s="9">
        <f t="shared" si="12"/>
        <v>0.80379911988309594</v>
      </c>
      <c r="CJ49" s="5">
        <v>0</v>
      </c>
      <c r="CK49" s="5">
        <v>0</v>
      </c>
      <c r="CL49" s="5">
        <v>0</v>
      </c>
    </row>
    <row r="50" spans="1:90" x14ac:dyDescent="0.25">
      <c r="A50" s="2" t="s">
        <v>206</v>
      </c>
      <c r="B50" s="1" t="s">
        <v>48</v>
      </c>
      <c r="C50" s="1" t="s">
        <v>324</v>
      </c>
      <c r="D50" s="1" t="s">
        <v>349</v>
      </c>
      <c r="E50" s="1" t="s">
        <v>326</v>
      </c>
      <c r="F50" s="21">
        <v>54.852558613799999</v>
      </c>
      <c r="G50" s="22">
        <v>4.3406634107999997E-3</v>
      </c>
      <c r="H50" s="22">
        <v>0</v>
      </c>
      <c r="I50" s="22">
        <v>33938226.773199998</v>
      </c>
      <c r="J50" s="22">
        <v>101810.667751</v>
      </c>
      <c r="K50" s="22">
        <f t="shared" si="15"/>
        <v>0.53877024702316845</v>
      </c>
      <c r="L50" s="22">
        <f t="shared" si="16"/>
        <v>0.42634662031841597</v>
      </c>
      <c r="M50" s="22">
        <f t="shared" si="17"/>
        <v>0.33334647068815293</v>
      </c>
      <c r="N50" s="21">
        <v>11.0030546412</v>
      </c>
      <c r="O50" s="21">
        <v>43.849504095699999</v>
      </c>
      <c r="P50" s="22">
        <v>8.7042289405600006E-4</v>
      </c>
      <c r="Q50" s="22">
        <v>3.4702405148199999E-3</v>
      </c>
      <c r="R50" s="23">
        <v>7.8554874847300002</v>
      </c>
      <c r="S50" s="23">
        <v>3.14756717679</v>
      </c>
      <c r="T50" s="23">
        <v>0</v>
      </c>
      <c r="U50" s="23">
        <v>31.347089385299999</v>
      </c>
      <c r="V50" s="23">
        <v>12.502414608600001</v>
      </c>
      <c r="W50" s="23">
        <v>0</v>
      </c>
      <c r="X50" s="22">
        <v>6.9872378885199994E-4</v>
      </c>
      <c r="Y50" s="22">
        <v>1.7169910228399999E-4</v>
      </c>
      <c r="Z50" s="22">
        <v>0</v>
      </c>
      <c r="AA50" s="22">
        <v>2.78823653065E-3</v>
      </c>
      <c r="AB50" s="22">
        <v>6.8200398851800002E-4</v>
      </c>
      <c r="AC50" s="22">
        <v>0</v>
      </c>
      <c r="AD50" s="21">
        <v>0.68167400478200002</v>
      </c>
      <c r="AE50" s="21">
        <v>7.17381346111</v>
      </c>
      <c r="AF50" s="21">
        <v>0</v>
      </c>
      <c r="AG50" s="21">
        <v>2.2252614179900001</v>
      </c>
      <c r="AH50" s="21">
        <v>29.121827950599997</v>
      </c>
      <c r="AI50" s="21">
        <v>0</v>
      </c>
      <c r="AJ50" s="21">
        <v>0.27397457191000002</v>
      </c>
      <c r="AK50" s="21">
        <v>2.8735926091100001</v>
      </c>
      <c r="AL50" s="21">
        <v>0</v>
      </c>
      <c r="AM50" s="21">
        <v>0.88751911301499997</v>
      </c>
      <c r="AN50" s="21">
        <v>11.6148955266</v>
      </c>
      <c r="AO50" s="21">
        <v>0</v>
      </c>
      <c r="AP50" s="22">
        <v>1.49452530448E-5</v>
      </c>
      <c r="AQ50" s="22">
        <v>1.5675384918099999E-4</v>
      </c>
      <c r="AR50" s="22">
        <v>0</v>
      </c>
      <c r="AS50" s="22">
        <v>6.0633009262500001E-5</v>
      </c>
      <c r="AT50" s="22">
        <v>6.3809078055400003E-4</v>
      </c>
      <c r="AU50" s="22">
        <v>0</v>
      </c>
      <c r="AV50" s="22">
        <v>1.9793082144899999E-4</v>
      </c>
      <c r="AW50" s="22">
        <v>2.59030570616E-3</v>
      </c>
      <c r="AX50" s="22">
        <v>0</v>
      </c>
      <c r="AY50" s="22">
        <v>4.8413973851199997E-5</v>
      </c>
      <c r="AZ50" s="22">
        <v>6.3359001471300009E-4</v>
      </c>
      <c r="BA50" s="22">
        <v>0</v>
      </c>
      <c r="BB50" s="7">
        <v>1088.912194</v>
      </c>
      <c r="BC50" s="1">
        <v>1.7241109773200002E-2</v>
      </c>
      <c r="BD50" s="9">
        <v>0</v>
      </c>
      <c r="BE50" s="9">
        <v>0.85699999999999998</v>
      </c>
      <c r="BF50" s="10">
        <v>0.14299999999999999</v>
      </c>
      <c r="BG50" s="11">
        <v>-7.4887590804900004</v>
      </c>
      <c r="BH50" s="15">
        <v>221.88888888888889</v>
      </c>
      <c r="BI50" s="20">
        <v>0.88503401360544209</v>
      </c>
      <c r="BJ50" s="15">
        <v>196.37921390778533</v>
      </c>
      <c r="BK50" s="13">
        <f t="shared" si="13"/>
        <v>5090733.4107703846</v>
      </c>
      <c r="BL50" s="13">
        <f t="shared" si="10"/>
        <v>28847493.362429615</v>
      </c>
      <c r="BM50" s="14">
        <v>14.999998216731772</v>
      </c>
      <c r="BN50" s="14">
        <v>85.000001783268232</v>
      </c>
      <c r="BO50" s="16">
        <v>11.126805101718139</v>
      </c>
      <c r="BP50" s="16">
        <v>4.6673191886641865</v>
      </c>
      <c r="BQ50" s="16">
        <v>3.162622272727273</v>
      </c>
      <c r="BR50" s="16">
        <v>0.26222236363636359</v>
      </c>
      <c r="BS50" s="16">
        <v>0.27230909090909089</v>
      </c>
      <c r="BT50" s="16">
        <v>69.508181818181825</v>
      </c>
      <c r="BU50" s="16">
        <v>18.466363636363635</v>
      </c>
      <c r="BV50" s="16">
        <v>27.230909090909094</v>
      </c>
      <c r="BW50" s="16">
        <f t="shared" si="24"/>
        <v>393.41630909090912</v>
      </c>
      <c r="BX50" s="16">
        <f t="shared" si="25"/>
        <v>25.114254545454546</v>
      </c>
      <c r="BY50" s="16">
        <f t="shared" si="25"/>
        <v>37.034036363636368</v>
      </c>
      <c r="BZ50" s="16">
        <v>7.1999999999999998E-3</v>
      </c>
      <c r="CA50" s="16">
        <f t="shared" si="18"/>
        <v>208.4053885714286</v>
      </c>
      <c r="CB50" s="9">
        <f t="shared" si="19"/>
        <v>765.89508450159849</v>
      </c>
      <c r="CC50" s="16">
        <f t="shared" si="20"/>
        <v>9.2582436316362742</v>
      </c>
      <c r="CD50" s="16">
        <f t="shared" si="21"/>
        <v>30.174040968342641</v>
      </c>
      <c r="CE50" s="17">
        <f t="shared" si="22"/>
        <v>805.32736910157735</v>
      </c>
      <c r="CF50" s="9">
        <f t="shared" si="23"/>
        <v>443.39532292309769</v>
      </c>
      <c r="CG50" s="18">
        <v>2235663.6363636367</v>
      </c>
      <c r="CH50" s="9">
        <f t="shared" si="11"/>
        <v>43.575941490325306</v>
      </c>
      <c r="CI50" s="9">
        <f t="shared" si="12"/>
        <v>4.276137473547597</v>
      </c>
      <c r="CJ50" s="5">
        <v>32.703626227681376</v>
      </c>
      <c r="CK50" s="5">
        <v>14.49612851930479</v>
      </c>
      <c r="CL50" s="5">
        <v>42.458995058548396</v>
      </c>
    </row>
    <row r="51" spans="1:90" x14ac:dyDescent="0.25">
      <c r="A51" s="2" t="s">
        <v>207</v>
      </c>
      <c r="B51" s="1" t="s">
        <v>49</v>
      </c>
      <c r="C51" s="1" t="s">
        <v>336</v>
      </c>
      <c r="D51" s="1" t="s">
        <v>336</v>
      </c>
      <c r="E51" s="1" t="s">
        <v>337</v>
      </c>
      <c r="F51" s="21">
        <v>2.7934115103299999</v>
      </c>
      <c r="G51" s="22">
        <v>2.4846619378E-4</v>
      </c>
      <c r="H51" s="22">
        <v>0</v>
      </c>
      <c r="I51" s="22">
        <v>12056870.9727</v>
      </c>
      <c r="J51" s="22">
        <v>2633.9131276600001</v>
      </c>
      <c r="K51" s="22">
        <f t="shared" si="15"/>
        <v>1.0605556732281827</v>
      </c>
      <c r="L51" s="22">
        <f t="shared" si="16"/>
        <v>0.94333480922637847</v>
      </c>
      <c r="M51" s="22">
        <f t="shared" si="17"/>
        <v>4.5775507347167022</v>
      </c>
      <c r="N51" s="21">
        <v>2.7934115103299999</v>
      </c>
      <c r="O51" s="21">
        <v>0</v>
      </c>
      <c r="P51" s="22">
        <v>2.4846619378E-4</v>
      </c>
      <c r="Q51" s="22">
        <v>0</v>
      </c>
      <c r="R51" s="23">
        <v>2.7934115103299999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2">
        <v>2.4846619378E-4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21">
        <v>0</v>
      </c>
      <c r="AE51" s="21">
        <v>0</v>
      </c>
      <c r="AF51" s="21">
        <v>2.79341152258</v>
      </c>
      <c r="AG51" s="21">
        <v>0</v>
      </c>
      <c r="AH51" s="21">
        <v>0</v>
      </c>
      <c r="AI51" s="21">
        <v>0</v>
      </c>
      <c r="AJ51" s="21">
        <v>0</v>
      </c>
      <c r="AK51" s="21">
        <v>0</v>
      </c>
      <c r="AL51" s="21">
        <v>0</v>
      </c>
      <c r="AM51" s="21">
        <v>0</v>
      </c>
      <c r="AN51" s="21">
        <v>0</v>
      </c>
      <c r="AO51" s="21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2.4846619428900001E-4</v>
      </c>
      <c r="AV51" s="22">
        <v>0</v>
      </c>
      <c r="AW51" s="22">
        <v>0</v>
      </c>
      <c r="AX51" s="22">
        <v>0</v>
      </c>
      <c r="AY51" s="22">
        <v>0</v>
      </c>
      <c r="AZ51" s="22">
        <v>0</v>
      </c>
      <c r="BA51" s="22">
        <v>0</v>
      </c>
      <c r="BB51" s="7">
        <v>29.1667868197</v>
      </c>
      <c r="BC51" s="1">
        <v>8.9930925941500005E-4</v>
      </c>
      <c r="BD51" s="9">
        <v>1</v>
      </c>
      <c r="BE51" s="9">
        <v>0</v>
      </c>
      <c r="BF51" s="10">
        <v>0</v>
      </c>
      <c r="BG51" s="11">
        <v>-31.645189196499999</v>
      </c>
      <c r="BH51" s="12">
        <v>292.68218180000002</v>
      </c>
      <c r="BI51" s="20">
        <v>1</v>
      </c>
      <c r="BJ51" s="15">
        <v>292.68218180000002</v>
      </c>
      <c r="BK51" s="13">
        <f t="shared" si="13"/>
        <v>1205686.9933520281</v>
      </c>
      <c r="BL51" s="13">
        <f t="shared" si="10"/>
        <v>10851183.979347972</v>
      </c>
      <c r="BM51" s="14">
        <v>9.99999913810165</v>
      </c>
      <c r="BN51" s="14">
        <v>90.000000861898357</v>
      </c>
      <c r="BO51" s="16">
        <v>0</v>
      </c>
      <c r="BP51" s="16">
        <v>0</v>
      </c>
      <c r="BQ51" s="16">
        <v>1.3213200000000001</v>
      </c>
      <c r="BR51" s="16">
        <v>5.5018545454545459E-2</v>
      </c>
      <c r="BS51" s="16">
        <v>3.0981818181818187E-2</v>
      </c>
      <c r="BT51" s="16">
        <v>29.04</v>
      </c>
      <c r="BU51" s="16">
        <v>3.874545454545455</v>
      </c>
      <c r="BV51" s="16">
        <v>3.0981818181818186</v>
      </c>
      <c r="BW51" s="16">
        <f t="shared" si="24"/>
        <v>164.3664</v>
      </c>
      <c r="BX51" s="16">
        <f t="shared" si="25"/>
        <v>5.2693818181818193</v>
      </c>
      <c r="BY51" s="16">
        <f t="shared" si="25"/>
        <v>4.2135272727272737</v>
      </c>
      <c r="BZ51" s="16">
        <v>4.8500000000000001E-3</v>
      </c>
      <c r="CA51" s="16">
        <f t="shared" si="18"/>
        <v>58.651465714285713</v>
      </c>
      <c r="CB51" s="9">
        <f t="shared" si="19"/>
        <v>0</v>
      </c>
      <c r="CC51" s="16">
        <f t="shared" si="20"/>
        <v>0</v>
      </c>
      <c r="CD51" s="16">
        <f t="shared" si="21"/>
        <v>0</v>
      </c>
      <c r="CE51" s="17">
        <f t="shared" si="22"/>
        <v>0</v>
      </c>
      <c r="CF51" s="9">
        <f t="shared" si="23"/>
        <v>0</v>
      </c>
      <c r="CG51" s="18">
        <v>170299.99999999997</v>
      </c>
      <c r="CH51" s="9">
        <f t="shared" si="11"/>
        <v>0.23966665792727274</v>
      </c>
      <c r="CI51" s="9">
        <f t="shared" si="12"/>
        <v>3.9594881949324666E-2</v>
      </c>
      <c r="CJ51" s="5">
        <v>21.187050707557646</v>
      </c>
      <c r="CK51" s="5">
        <v>0</v>
      </c>
      <c r="CL51" s="5">
        <v>21.187050707557642</v>
      </c>
    </row>
    <row r="52" spans="1:90" x14ac:dyDescent="0.25">
      <c r="A52" s="2" t="s">
        <v>208</v>
      </c>
      <c r="B52" s="1" t="s">
        <v>50</v>
      </c>
      <c r="C52" s="1" t="s">
        <v>324</v>
      </c>
      <c r="D52" s="1" t="s">
        <v>326</v>
      </c>
      <c r="E52" s="1" t="s">
        <v>326</v>
      </c>
      <c r="F52" s="21">
        <v>3916.6914827599999</v>
      </c>
      <c r="G52" s="22">
        <v>0.23936971124100001</v>
      </c>
      <c r="H52" s="22">
        <v>6.4767520346600002E-4</v>
      </c>
      <c r="I52" s="22">
        <v>3914935251.5700002</v>
      </c>
      <c r="J52" s="22">
        <v>2887583.3596399999</v>
      </c>
      <c r="K52" s="22">
        <f t="shared" si="15"/>
        <v>1.3563907929045209</v>
      </c>
      <c r="L52" s="22">
        <f t="shared" si="16"/>
        <v>0.82896208153396012</v>
      </c>
      <c r="M52" s="22">
        <f t="shared" si="17"/>
        <v>1.355782591868822</v>
      </c>
      <c r="N52" s="21">
        <v>2632.54321295</v>
      </c>
      <c r="O52" s="21">
        <v>1284.1482728399999</v>
      </c>
      <c r="P52" s="22">
        <v>0.16077170624000001</v>
      </c>
      <c r="Q52" s="22">
        <v>7.8598004674899996E-2</v>
      </c>
      <c r="R52" s="23">
        <v>1532.6505694800001</v>
      </c>
      <c r="S52" s="23">
        <v>1099.8926430700001</v>
      </c>
      <c r="T52" s="23">
        <v>0</v>
      </c>
      <c r="U52" s="23">
        <v>750.23043353100002</v>
      </c>
      <c r="V52" s="23">
        <v>533.91784316999997</v>
      </c>
      <c r="W52" s="23">
        <v>0</v>
      </c>
      <c r="X52" s="22">
        <v>0.13632501075799999</v>
      </c>
      <c r="Y52" s="22">
        <v>2.4446695453099999E-2</v>
      </c>
      <c r="Z52" s="22">
        <v>0</v>
      </c>
      <c r="AA52" s="22">
        <v>6.6730913028899996E-2</v>
      </c>
      <c r="AB52" s="22">
        <v>1.18670917256E-2</v>
      </c>
      <c r="AC52" s="22">
        <v>0</v>
      </c>
      <c r="AD52" s="21">
        <v>43.605409178900004</v>
      </c>
      <c r="AE52" s="21">
        <v>932.95079273599993</v>
      </c>
      <c r="AF52" s="21">
        <v>556.09436698899992</v>
      </c>
      <c r="AG52" s="21">
        <v>25.113697930200001</v>
      </c>
      <c r="AH52" s="21">
        <v>725.11673312999994</v>
      </c>
      <c r="AI52" s="21">
        <v>0</v>
      </c>
      <c r="AJ52" s="21">
        <v>32.153331520599998</v>
      </c>
      <c r="AK52" s="21">
        <v>661.05734955100002</v>
      </c>
      <c r="AL52" s="21">
        <v>406.68196144000001</v>
      </c>
      <c r="AM52" s="21">
        <v>17.872710617199999</v>
      </c>
      <c r="AN52" s="21">
        <v>516.045132739</v>
      </c>
      <c r="AO52" s="21">
        <v>0</v>
      </c>
      <c r="AP52" s="22">
        <v>7.14654023995E-4</v>
      </c>
      <c r="AQ52" s="22">
        <v>1.4692950082799999E-2</v>
      </c>
      <c r="AR52" s="22">
        <v>9.0390913304599987E-3</v>
      </c>
      <c r="AS52" s="22">
        <v>3.8785800189200001E-3</v>
      </c>
      <c r="AT52" s="22">
        <v>8.2983381457699998E-2</v>
      </c>
      <c r="AU52" s="22">
        <v>4.9463049255400002E-2</v>
      </c>
      <c r="AV52" s="22">
        <v>2.2337936726599997E-3</v>
      </c>
      <c r="AW52" s="22">
        <v>6.4497119386400001E-2</v>
      </c>
      <c r="AX52" s="22">
        <v>0</v>
      </c>
      <c r="AY52" s="22">
        <v>3.9724669148599999E-4</v>
      </c>
      <c r="AZ52" s="22">
        <v>1.14698450392E-2</v>
      </c>
      <c r="BA52" s="22">
        <v>0</v>
      </c>
      <c r="BB52" s="7">
        <v>14560.1663092</v>
      </c>
      <c r="BC52" s="1">
        <v>0.230535966221</v>
      </c>
      <c r="BD52" s="9">
        <v>0.48899999999999999</v>
      </c>
      <c r="BE52" s="9">
        <v>0.47599999999999998</v>
      </c>
      <c r="BF52" s="10">
        <v>3.5999999999999997E-2</v>
      </c>
      <c r="BG52" s="11">
        <v>-28.057592610499999</v>
      </c>
      <c r="BH52" s="15">
        <v>74.222222222222229</v>
      </c>
      <c r="BI52" s="20">
        <v>1.0780487804878049</v>
      </c>
      <c r="BJ52" s="15">
        <v>80.015176151761523</v>
      </c>
      <c r="BK52" s="13">
        <f t="shared" si="13"/>
        <v>1645230419.0486491</v>
      </c>
      <c r="BL52" s="13">
        <f t="shared" si="10"/>
        <v>2269704832.5213509</v>
      </c>
      <c r="BM52" s="14">
        <v>42.024460516655154</v>
      </c>
      <c r="BN52" s="14">
        <v>57.975539483344839</v>
      </c>
      <c r="BO52" s="16">
        <v>7.3826929870254272</v>
      </c>
      <c r="BP52" s="16">
        <v>3.0967905276816232</v>
      </c>
      <c r="BQ52" s="16">
        <v>5.2110736363636372</v>
      </c>
      <c r="BR52" s="16">
        <v>0.41285854545454542</v>
      </c>
      <c r="BS52" s="16">
        <v>0.3789909090909091</v>
      </c>
      <c r="BT52" s="16">
        <v>114.5290909090909</v>
      </c>
      <c r="BU52" s="16">
        <v>29.074545454545447</v>
      </c>
      <c r="BV52" s="16">
        <v>37.899090909090908</v>
      </c>
      <c r="BW52" s="16">
        <f>BT52*5.62</f>
        <v>643.65349090909081</v>
      </c>
      <c r="BX52" s="16">
        <f>BU52*1.47</f>
        <v>42.739581818181804</v>
      </c>
      <c r="BY52" s="16">
        <f>BV52*1.45</f>
        <v>54.953681818181813</v>
      </c>
      <c r="BZ52" s="16">
        <v>7.1999999999999998E-3</v>
      </c>
      <c r="CA52" s="16">
        <f t="shared" si="18"/>
        <v>343.39093714285707</v>
      </c>
      <c r="CB52" s="9">
        <f t="shared" si="19"/>
        <v>508.17536727358356</v>
      </c>
      <c r="CC52" s="16">
        <f t="shared" si="20"/>
        <v>6.1428927447376243</v>
      </c>
      <c r="CD52" s="16">
        <f t="shared" si="21"/>
        <v>20.02063293198179</v>
      </c>
      <c r="CE52" s="17">
        <f t="shared" si="22"/>
        <v>534.33889295030303</v>
      </c>
      <c r="CF52" s="9">
        <f t="shared" si="23"/>
        <v>294.19510012975422</v>
      </c>
      <c r="CG52" s="18">
        <v>19420218.18181818</v>
      </c>
      <c r="CH52" s="9">
        <f t="shared" si="11"/>
        <v>320.09193244250667</v>
      </c>
      <c r="CI52" s="9">
        <f t="shared" si="12"/>
        <v>37.156153559296577</v>
      </c>
      <c r="CJ52" s="5">
        <v>0</v>
      </c>
      <c r="CK52" s="5">
        <v>9.0938206705235274</v>
      </c>
      <c r="CL52" s="5">
        <v>9.0938206705235221</v>
      </c>
    </row>
    <row r="53" spans="1:90" x14ac:dyDescent="0.25">
      <c r="A53" s="2" t="s">
        <v>209</v>
      </c>
      <c r="B53" s="1" t="s">
        <v>51</v>
      </c>
      <c r="C53" s="1" t="s">
        <v>327</v>
      </c>
      <c r="D53" s="1" t="s">
        <v>330</v>
      </c>
      <c r="E53" s="1" t="s">
        <v>331</v>
      </c>
      <c r="F53" s="21">
        <v>30.804525050100001</v>
      </c>
      <c r="G53" s="22">
        <v>2.7720857146299998E-3</v>
      </c>
      <c r="H53" s="22">
        <v>0</v>
      </c>
      <c r="I53" s="22">
        <v>38739958.566600002</v>
      </c>
      <c r="J53" s="22">
        <v>4449.9985516099996</v>
      </c>
      <c r="K53" s="22">
        <f t="shared" si="15"/>
        <v>6.9223674328961282</v>
      </c>
      <c r="L53" s="22">
        <f t="shared" si="16"/>
        <v>6.2294081278454918</v>
      </c>
      <c r="M53" s="22">
        <f t="shared" si="17"/>
        <v>8.7056115001619432</v>
      </c>
      <c r="N53" s="21">
        <v>0</v>
      </c>
      <c r="O53" s="21">
        <v>30.804525050100001</v>
      </c>
      <c r="P53" s="22">
        <v>0</v>
      </c>
      <c r="Q53" s="22">
        <v>2.7720857146299998E-3</v>
      </c>
      <c r="R53" s="23">
        <v>0</v>
      </c>
      <c r="S53" s="23">
        <v>0</v>
      </c>
      <c r="T53" s="23">
        <v>0</v>
      </c>
      <c r="U53" s="23">
        <v>27.672057867199999</v>
      </c>
      <c r="V53" s="23">
        <v>3.1324673109000001</v>
      </c>
      <c r="W53" s="23">
        <v>0</v>
      </c>
      <c r="X53" s="22">
        <v>0</v>
      </c>
      <c r="Y53" s="22">
        <v>0</v>
      </c>
      <c r="Z53" s="22">
        <v>0</v>
      </c>
      <c r="AA53" s="22">
        <v>2.4613526779799998E-3</v>
      </c>
      <c r="AB53" s="22">
        <v>3.1073302332400001E-4</v>
      </c>
      <c r="AC53" s="22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27.6720578682</v>
      </c>
      <c r="AI53" s="21">
        <v>0</v>
      </c>
      <c r="AJ53" s="21">
        <v>0</v>
      </c>
      <c r="AK53" s="21">
        <v>0</v>
      </c>
      <c r="AL53" s="21">
        <v>0</v>
      </c>
      <c r="AM53" s="21">
        <v>0</v>
      </c>
      <c r="AN53" s="21">
        <v>3.13246732057</v>
      </c>
      <c r="AO53" s="21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2.4613526851599999E-3</v>
      </c>
      <c r="AX53" s="22">
        <v>0</v>
      </c>
      <c r="AY53" s="22">
        <v>0</v>
      </c>
      <c r="AZ53" s="22">
        <v>3.10733023288E-4</v>
      </c>
      <c r="BA53" s="22">
        <v>0</v>
      </c>
      <c r="BB53" s="7">
        <v>173.579425633</v>
      </c>
      <c r="BC53" s="1">
        <v>5.8824138145400001E-3</v>
      </c>
      <c r="BD53" s="9">
        <v>0.5</v>
      </c>
      <c r="BE53" s="9">
        <v>0.5</v>
      </c>
      <c r="BF53" s="10">
        <v>0</v>
      </c>
      <c r="BG53" s="11">
        <v>-10.3035699723</v>
      </c>
      <c r="BH53" s="15">
        <v>357.11111111111109</v>
      </c>
      <c r="BI53" s="20">
        <v>1</v>
      </c>
      <c r="BJ53" s="15">
        <v>357.11111111111109</v>
      </c>
      <c r="BK53" s="13">
        <f t="shared" si="13"/>
        <v>0</v>
      </c>
      <c r="BL53" s="13">
        <f t="shared" si="10"/>
        <v>38739958.566600002</v>
      </c>
      <c r="BM53" s="14">
        <v>0</v>
      </c>
      <c r="BN53" s="14">
        <v>100</v>
      </c>
      <c r="BO53" s="16">
        <v>0.27575757575757576</v>
      </c>
      <c r="BP53" s="16">
        <v>0.10121212121212121</v>
      </c>
      <c r="BQ53" s="16">
        <v>5.1663181818181816E-2</v>
      </c>
      <c r="BR53" s="16">
        <v>5.8607272727272727E-3</v>
      </c>
      <c r="BS53" s="16">
        <v>2.4909090909090905E-2</v>
      </c>
      <c r="BT53" s="16">
        <v>1.1354545454545453</v>
      </c>
      <c r="BU53" s="16">
        <v>0.41272727272727272</v>
      </c>
      <c r="BV53" s="16">
        <v>2.4909090909090907</v>
      </c>
      <c r="BW53" s="16">
        <f>BT53*5.66</f>
        <v>6.4266727272727264</v>
      </c>
      <c r="BX53" s="16">
        <f>BU53*1.36</f>
        <v>0.56130909090909098</v>
      </c>
      <c r="BY53" s="16">
        <f>BV53*1.36</f>
        <v>3.3876363636363638</v>
      </c>
      <c r="BZ53" s="16">
        <v>2.96E-3</v>
      </c>
      <c r="CA53" s="16">
        <f t="shared" si="18"/>
        <v>1.399593714285714</v>
      </c>
      <c r="CB53" s="9">
        <f t="shared" si="19"/>
        <v>18.981313131313129</v>
      </c>
      <c r="CC53" s="16">
        <f t="shared" si="20"/>
        <v>0.22944868686868691</v>
      </c>
      <c r="CD53" s="16">
        <f t="shared" si="21"/>
        <v>0.74780858585858589</v>
      </c>
      <c r="CE53" s="17">
        <f t="shared" si="22"/>
        <v>19.958570404040401</v>
      </c>
      <c r="CF53" s="9">
        <f t="shared" si="23"/>
        <v>9.6151515151515152</v>
      </c>
      <c r="CG53" s="18">
        <v>495000</v>
      </c>
      <c r="CH53" s="9">
        <f t="shared" si="11"/>
        <v>0.22740433499999999</v>
      </c>
      <c r="CI53" s="9">
        <f t="shared" si="12"/>
        <v>2.0467722238571427E-2</v>
      </c>
      <c r="CJ53" s="5">
        <v>30.403943604084898</v>
      </c>
      <c r="CK53" s="5">
        <v>0</v>
      </c>
      <c r="CL53" s="5">
        <v>30.403943604084894</v>
      </c>
    </row>
    <row r="54" spans="1:90" x14ac:dyDescent="0.25">
      <c r="A54" s="2" t="s">
        <v>210</v>
      </c>
      <c r="B54" s="1" t="s">
        <v>52</v>
      </c>
      <c r="C54" s="1" t="s">
        <v>324</v>
      </c>
      <c r="D54" s="1" t="s">
        <v>349</v>
      </c>
      <c r="E54" s="1" t="s">
        <v>326</v>
      </c>
      <c r="F54" s="21">
        <v>37.143024139399998</v>
      </c>
      <c r="G54" s="22">
        <v>4.3482434487099996E-3</v>
      </c>
      <c r="H54" s="22">
        <v>6.0906601138400003E-9</v>
      </c>
      <c r="I54" s="22">
        <v>55993316.671400003</v>
      </c>
      <c r="J54" s="22">
        <v>239918.34594500001</v>
      </c>
      <c r="K54" s="22">
        <f t="shared" si="15"/>
        <v>0.15481527264244657</v>
      </c>
      <c r="L54" s="22">
        <f t="shared" si="16"/>
        <v>0.18123847226367637</v>
      </c>
      <c r="M54" s="22">
        <f t="shared" si="17"/>
        <v>0.23338488955836736</v>
      </c>
      <c r="N54" s="21">
        <v>23.541029737399999</v>
      </c>
      <c r="O54" s="21">
        <v>13.601994337200001</v>
      </c>
      <c r="P54" s="22">
        <v>2.75236574545E-3</v>
      </c>
      <c r="Q54" s="22">
        <v>1.5958777012700001E-3</v>
      </c>
      <c r="R54" s="23">
        <v>7.4768693529799997</v>
      </c>
      <c r="S54" s="23">
        <v>16.0641604142</v>
      </c>
      <c r="T54" s="23">
        <v>0</v>
      </c>
      <c r="U54" s="23">
        <v>4.1844305036999998</v>
      </c>
      <c r="V54" s="23">
        <v>9.4175638359799994</v>
      </c>
      <c r="W54" s="23">
        <v>0</v>
      </c>
      <c r="X54" s="22">
        <v>6.6504675719300001E-4</v>
      </c>
      <c r="Y54" s="22">
        <v>2.0873189898599999E-3</v>
      </c>
      <c r="Z54" s="22">
        <v>0</v>
      </c>
      <c r="AA54" s="22">
        <v>3.7219347007400001E-4</v>
      </c>
      <c r="AB54" s="22">
        <v>1.2236842322400001E-3</v>
      </c>
      <c r="AC54" s="22">
        <v>0</v>
      </c>
      <c r="AD54" s="21">
        <v>0.15707578852599999</v>
      </c>
      <c r="AE54" s="21">
        <v>4.6332449411600001</v>
      </c>
      <c r="AF54" s="21">
        <v>2.6865485696899998</v>
      </c>
      <c r="AG54" s="21">
        <v>0.105351737411</v>
      </c>
      <c r="AH54" s="21">
        <v>4.0790787614399999</v>
      </c>
      <c r="AI54" s="21">
        <v>0</v>
      </c>
      <c r="AJ54" s="21">
        <v>0.33588231419000003</v>
      </c>
      <c r="AK54" s="21">
        <v>10.0096814213</v>
      </c>
      <c r="AL54" s="21">
        <v>5.7185967040700003</v>
      </c>
      <c r="AM54" s="21">
        <v>0.23710675067199999</v>
      </c>
      <c r="AN54" s="21">
        <v>9.1804570954700004</v>
      </c>
      <c r="AO54" s="21">
        <v>0</v>
      </c>
      <c r="AP54" s="22">
        <v>4.3643334862499995E-5</v>
      </c>
      <c r="AQ54" s="22">
        <v>1.3006218517100001E-3</v>
      </c>
      <c r="AR54" s="22">
        <v>7.4305380374000004E-4</v>
      </c>
      <c r="AS54" s="22">
        <v>1.3971455046599999E-5</v>
      </c>
      <c r="AT54" s="22">
        <v>4.12114268625E-4</v>
      </c>
      <c r="AU54" s="22">
        <v>2.38961032393E-4</v>
      </c>
      <c r="AV54" s="22">
        <v>9.3707444184000002E-6</v>
      </c>
      <c r="AW54" s="22">
        <v>3.6282272490299999E-4</v>
      </c>
      <c r="AX54" s="22">
        <v>0</v>
      </c>
      <c r="AY54" s="22">
        <v>3.0808794792800002E-5</v>
      </c>
      <c r="AZ54" s="22">
        <v>1.1928754384800001E-3</v>
      </c>
      <c r="BA54" s="22">
        <v>0</v>
      </c>
      <c r="BB54" s="7">
        <v>3106.1515322599998</v>
      </c>
      <c r="BC54" s="1">
        <v>4.9180732528200002E-2</v>
      </c>
      <c r="BD54" s="9">
        <v>0.51300000000000001</v>
      </c>
      <c r="BE54" s="9">
        <v>0.46100000000000002</v>
      </c>
      <c r="BF54" s="10">
        <v>2.5999999999999999E-2</v>
      </c>
      <c r="BG54" s="11">
        <v>-16.487152867300001</v>
      </c>
      <c r="BH54" s="15">
        <v>485.88888888888891</v>
      </c>
      <c r="BI54" s="20">
        <v>0.96271186440677969</v>
      </c>
      <c r="BJ54" s="15">
        <v>467.77099811676089</v>
      </c>
      <c r="BK54" s="13">
        <f t="shared" si="13"/>
        <v>23839624.516233653</v>
      </c>
      <c r="BL54" s="13">
        <f t="shared" si="10"/>
        <v>32153692.155166347</v>
      </c>
      <c r="BM54" s="14">
        <v>42.575839284780827</v>
      </c>
      <c r="BN54" s="14">
        <v>57.424160715219166</v>
      </c>
      <c r="BO54" s="16">
        <v>10.007438681141938</v>
      </c>
      <c r="BP54" s="16">
        <v>4.197782756045723</v>
      </c>
      <c r="BQ54" s="16">
        <v>8.2495222727272708</v>
      </c>
      <c r="BR54" s="16">
        <v>0.57861127272727275</v>
      </c>
      <c r="BS54" s="16">
        <v>0.56661818181818191</v>
      </c>
      <c r="BT54" s="5">
        <v>181.30818181818185</v>
      </c>
      <c r="BU54" s="5">
        <v>40.74727272727273</v>
      </c>
      <c r="BV54" s="5">
        <v>56.661818181818177</v>
      </c>
      <c r="BW54" s="16">
        <f>BT54*5.66</f>
        <v>1026.2043090909092</v>
      </c>
      <c r="BX54" s="16">
        <f>BU54*1.36</f>
        <v>55.416290909090918</v>
      </c>
      <c r="BY54" s="16">
        <f>BV54*1.36</f>
        <v>77.060072727272726</v>
      </c>
      <c r="BZ54" s="16">
        <v>7.1999999999999998E-3</v>
      </c>
      <c r="CA54" s="16">
        <f t="shared" si="18"/>
        <v>543.61373142857144</v>
      </c>
      <c r="CB54" s="9">
        <f t="shared" si="19"/>
        <v>688.84536255193666</v>
      </c>
      <c r="CC54" s="16">
        <f t="shared" si="20"/>
        <v>8.3268561452888363</v>
      </c>
      <c r="CD54" s="16">
        <f t="shared" si="21"/>
        <v>27.13850579681008</v>
      </c>
      <c r="CE54" s="17">
        <f t="shared" si="22"/>
        <v>724.31072449403564</v>
      </c>
      <c r="CF54" s="9">
        <f t="shared" si="23"/>
        <v>398.7893618243437</v>
      </c>
      <c r="CG54" s="18">
        <v>5931545.4545454551</v>
      </c>
      <c r="CH54" s="9">
        <f t="shared" si="11"/>
        <v>139.98431355104972</v>
      </c>
      <c r="CI54" s="9">
        <f t="shared" si="12"/>
        <v>16.758955847270155</v>
      </c>
      <c r="CJ54" s="5">
        <v>62.278933157161291</v>
      </c>
      <c r="CK54" s="5">
        <v>44.074148160815859</v>
      </c>
      <c r="CL54" s="5">
        <v>78.904172045314411</v>
      </c>
    </row>
    <row r="55" spans="1:90" x14ac:dyDescent="0.25">
      <c r="A55" s="2" t="s">
        <v>211</v>
      </c>
      <c r="B55" s="1" t="s">
        <v>53</v>
      </c>
      <c r="C55" s="1" t="s">
        <v>321</v>
      </c>
      <c r="D55" s="1" t="s">
        <v>335</v>
      </c>
      <c r="E55" s="1" t="s">
        <v>329</v>
      </c>
      <c r="F55" s="21">
        <v>46.894548433700002</v>
      </c>
      <c r="G55" s="22">
        <v>3.6527541766700001E-3</v>
      </c>
      <c r="H55" s="22">
        <v>0</v>
      </c>
      <c r="I55" s="22">
        <v>908558604.70700002</v>
      </c>
      <c r="J55" s="22">
        <v>427953.37645600003</v>
      </c>
      <c r="K55" s="22">
        <f t="shared" si="15"/>
        <v>0.10957863873407589</v>
      </c>
      <c r="L55" s="22">
        <f t="shared" si="16"/>
        <v>8.5354021667487831E-2</v>
      </c>
      <c r="M55" s="22">
        <f t="shared" si="17"/>
        <v>2.1230317475960221</v>
      </c>
      <c r="N55" s="21">
        <v>3.0774431453800002</v>
      </c>
      <c r="O55" s="21">
        <v>43.817105496499998</v>
      </c>
      <c r="P55" s="22">
        <v>2.5165235719400001E-4</v>
      </c>
      <c r="Q55" s="22">
        <v>3.4011018163699999E-3</v>
      </c>
      <c r="R55" s="23">
        <v>2.60734776878</v>
      </c>
      <c r="S55" s="23">
        <v>0.47009540470400002</v>
      </c>
      <c r="T55" s="23">
        <v>0</v>
      </c>
      <c r="U55" s="23">
        <v>33.249313878599999</v>
      </c>
      <c r="V55" s="23">
        <v>10.567791506300001</v>
      </c>
      <c r="W55" s="23">
        <v>0</v>
      </c>
      <c r="X55" s="22">
        <v>2.3191635012E-4</v>
      </c>
      <c r="Y55" s="22">
        <v>1.9736020445000001E-5</v>
      </c>
      <c r="Z55" s="22">
        <v>0</v>
      </c>
      <c r="AA55" s="22">
        <v>2.9574341177200001E-3</v>
      </c>
      <c r="AB55" s="22">
        <v>4.4366770175300002E-4</v>
      </c>
      <c r="AC55" s="22">
        <v>0</v>
      </c>
      <c r="AD55" s="21">
        <v>0.19820933449299999</v>
      </c>
      <c r="AE55" s="21">
        <v>0</v>
      </c>
      <c r="AF55" s="21">
        <v>2.4091384807199998</v>
      </c>
      <c r="AG55" s="21">
        <v>33.249313915499997</v>
      </c>
      <c r="AH55" s="21">
        <v>0</v>
      </c>
      <c r="AI55" s="21">
        <v>0</v>
      </c>
      <c r="AJ55" s="21">
        <v>3.56319587723E-2</v>
      </c>
      <c r="AK55" s="21">
        <v>0</v>
      </c>
      <c r="AL55" s="21">
        <v>0.43446343305499996</v>
      </c>
      <c r="AM55" s="21">
        <v>10.567791504300001</v>
      </c>
      <c r="AN55" s="21">
        <v>0</v>
      </c>
      <c r="AO55" s="21">
        <v>0</v>
      </c>
      <c r="AP55" s="22">
        <v>1.4959369063700001E-6</v>
      </c>
      <c r="AQ55" s="22">
        <v>0</v>
      </c>
      <c r="AR55" s="22">
        <v>1.8240083112300003E-5</v>
      </c>
      <c r="AS55" s="22">
        <v>1.76301696853E-5</v>
      </c>
      <c r="AT55" s="22">
        <v>0</v>
      </c>
      <c r="AU55" s="22">
        <v>2.14286173087E-4</v>
      </c>
      <c r="AV55" s="22">
        <v>2.9574341161599997E-3</v>
      </c>
      <c r="AW55" s="22">
        <v>0</v>
      </c>
      <c r="AX55" s="22">
        <v>0</v>
      </c>
      <c r="AY55" s="22">
        <v>4.4366770190600003E-4</v>
      </c>
      <c r="AZ55" s="22">
        <v>0</v>
      </c>
      <c r="BA55" s="22">
        <v>0</v>
      </c>
      <c r="BB55" s="7">
        <v>33.579713685400002</v>
      </c>
      <c r="BC55" s="1">
        <v>1.8562119627E-3</v>
      </c>
      <c r="BD55" s="9">
        <v>0.92900000000000005</v>
      </c>
      <c r="BE55" s="9">
        <v>0</v>
      </c>
      <c r="BF55" s="10">
        <v>7.0999999999999994E-2</v>
      </c>
      <c r="BG55" s="11">
        <v>-41.029632745999997</v>
      </c>
      <c r="BH55" s="15">
        <v>122.66666666666667</v>
      </c>
      <c r="BI55" s="20">
        <v>1.2321100917431194</v>
      </c>
      <c r="BJ55" s="15">
        <v>151.13883792048932</v>
      </c>
      <c r="BK55" s="13">
        <f t="shared" si="13"/>
        <v>1998648.9974266884</v>
      </c>
      <c r="BL55" s="13">
        <f t="shared" si="10"/>
        <v>906559955.70957327</v>
      </c>
      <c r="BM55" s="14">
        <v>0.21998019578178232</v>
      </c>
      <c r="BN55" s="14">
        <v>99.780019804218213</v>
      </c>
      <c r="BO55" s="16">
        <v>2.0675176350473361</v>
      </c>
      <c r="BP55" s="16">
        <v>0.7588471319844069</v>
      </c>
      <c r="BQ55" s="16">
        <v>1.3528804545454547</v>
      </c>
      <c r="BR55" s="16">
        <v>1.5414888888888888E-2</v>
      </c>
      <c r="BS55" s="16">
        <v>9.0909090909090905E-3</v>
      </c>
      <c r="BT55" s="16">
        <v>29.733636363636357</v>
      </c>
      <c r="BU55" s="16">
        <v>1.0855555555555556</v>
      </c>
      <c r="BV55" s="16">
        <v>0.90909090909090906</v>
      </c>
      <c r="BW55" s="16">
        <f>BT55*4</f>
        <v>118.93454545454543</v>
      </c>
      <c r="BX55" s="16">
        <f>BU55*1.29</f>
        <v>1.4003666666666668</v>
      </c>
      <c r="BY55" s="16">
        <f>BV55*1.47</f>
        <v>1.3363636363636362</v>
      </c>
      <c r="BZ55" s="16">
        <v>2.66E-3</v>
      </c>
      <c r="CA55" s="16">
        <f t="shared" si="18"/>
        <v>32.935948999999994</v>
      </c>
      <c r="CB55" s="9">
        <f t="shared" si="19"/>
        <v>142.3141305457583</v>
      </c>
      <c r="CC55" s="16">
        <f t="shared" si="20"/>
        <v>1.7203125068683869</v>
      </c>
      <c r="CD55" s="16">
        <f t="shared" si="21"/>
        <v>5.6067632399758676</v>
      </c>
      <c r="CE55" s="17">
        <f t="shared" si="22"/>
        <v>149.64120629260256</v>
      </c>
      <c r="CF55" s="9">
        <f t="shared" si="23"/>
        <v>72.090477538518655</v>
      </c>
      <c r="CG55" s="18">
        <v>744909.09090909082</v>
      </c>
      <c r="CH55" s="9">
        <f t="shared" si="11"/>
        <v>3.1314123503863645</v>
      </c>
      <c r="CI55" s="9">
        <f t="shared" si="12"/>
        <v>0.28033827427052571</v>
      </c>
      <c r="CJ55" s="5">
        <v>0</v>
      </c>
      <c r="CK55" s="5">
        <v>0</v>
      </c>
      <c r="CL55" s="5">
        <v>0</v>
      </c>
    </row>
    <row r="56" spans="1:90" x14ac:dyDescent="0.25">
      <c r="A56" s="2" t="s">
        <v>212</v>
      </c>
      <c r="B56" s="1" t="s">
        <v>54</v>
      </c>
      <c r="C56" s="1" t="s">
        <v>327</v>
      </c>
      <c r="D56" s="1" t="s">
        <v>340</v>
      </c>
      <c r="E56" s="1" t="s">
        <v>331</v>
      </c>
      <c r="F56" s="21">
        <v>343.602843436</v>
      </c>
      <c r="G56" s="22">
        <v>2.6294173430300001E-2</v>
      </c>
      <c r="H56" s="22">
        <v>3.5188543871000004E-6</v>
      </c>
      <c r="I56" s="22">
        <v>668472452.93099999</v>
      </c>
      <c r="J56" s="22">
        <v>58843.270411500002</v>
      </c>
      <c r="K56" s="22">
        <f t="shared" si="15"/>
        <v>5.8392886906715535</v>
      </c>
      <c r="L56" s="22">
        <f t="shared" si="16"/>
        <v>4.4685098646660562</v>
      </c>
      <c r="M56" s="22">
        <f t="shared" si="17"/>
        <v>11.360219244380366</v>
      </c>
      <c r="N56" s="21">
        <v>207.91514914499999</v>
      </c>
      <c r="O56" s="21">
        <v>135.687697066</v>
      </c>
      <c r="P56" s="22">
        <v>1.5921996498399999E-2</v>
      </c>
      <c r="Q56" s="22">
        <v>1.0372176968499999E-2</v>
      </c>
      <c r="R56" s="23">
        <v>123.725394451</v>
      </c>
      <c r="S56" s="23">
        <v>84.189754352099996</v>
      </c>
      <c r="T56" s="23">
        <v>0</v>
      </c>
      <c r="U56" s="23">
        <v>80.132575242900003</v>
      </c>
      <c r="V56" s="23">
        <v>55.555122235100001</v>
      </c>
      <c r="W56" s="23">
        <v>0</v>
      </c>
      <c r="X56" s="22">
        <v>1.10050300842E-2</v>
      </c>
      <c r="Y56" s="22">
        <v>4.9169663199499997E-3</v>
      </c>
      <c r="Z56" s="22">
        <v>0</v>
      </c>
      <c r="AA56" s="22">
        <v>7.1275700142300006E-3</v>
      </c>
      <c r="AB56" s="22">
        <v>3.2446069754999999E-3</v>
      </c>
      <c r="AC56" s="22">
        <v>0</v>
      </c>
      <c r="AD56" s="21">
        <v>0</v>
      </c>
      <c r="AE56" s="21">
        <v>36.831274575599998</v>
      </c>
      <c r="AF56" s="21">
        <v>86.894119904299998</v>
      </c>
      <c r="AG56" s="21">
        <v>0</v>
      </c>
      <c r="AH56" s="21">
        <v>80.132575415999995</v>
      </c>
      <c r="AI56" s="21">
        <v>0</v>
      </c>
      <c r="AJ56" s="21">
        <v>0</v>
      </c>
      <c r="AK56" s="21">
        <v>25.213301999500001</v>
      </c>
      <c r="AL56" s="21">
        <v>58.976452471600005</v>
      </c>
      <c r="AM56" s="21">
        <v>0</v>
      </c>
      <c r="AN56" s="21">
        <v>55.555122306500003</v>
      </c>
      <c r="AO56" s="21">
        <v>0</v>
      </c>
      <c r="AP56" s="22">
        <v>0</v>
      </c>
      <c r="AQ56" s="22">
        <v>1.47254208831E-3</v>
      </c>
      <c r="AR56" s="22">
        <v>3.44442422854E-3</v>
      </c>
      <c r="AS56" s="22">
        <v>0</v>
      </c>
      <c r="AT56" s="22">
        <v>3.2760395633200001E-3</v>
      </c>
      <c r="AU56" s="22">
        <v>7.7289905762099997E-3</v>
      </c>
      <c r="AV56" s="22">
        <v>0</v>
      </c>
      <c r="AW56" s="22">
        <v>7.1275699938599998E-3</v>
      </c>
      <c r="AX56" s="22">
        <v>0</v>
      </c>
      <c r="AY56" s="22">
        <v>0</v>
      </c>
      <c r="AZ56" s="22">
        <v>3.2446069795700003E-3</v>
      </c>
      <c r="BA56" s="22">
        <v>0</v>
      </c>
      <c r="BB56" s="7">
        <v>4449.1865565799999</v>
      </c>
      <c r="BC56" s="1">
        <v>0.150777989206</v>
      </c>
      <c r="BD56" s="9">
        <v>0.79600000000000004</v>
      </c>
      <c r="BE56" s="9">
        <v>0.20399999999999999</v>
      </c>
      <c r="BF56" s="10">
        <v>0</v>
      </c>
      <c r="BG56" s="11">
        <v>-19.8858576469</v>
      </c>
      <c r="BH56" s="15">
        <v>208.11111111111111</v>
      </c>
      <c r="BI56" s="20">
        <v>1.0102880658436213</v>
      </c>
      <c r="BJ56" s="15">
        <v>210.25217192501142</v>
      </c>
      <c r="BK56" s="13">
        <f t="shared" si="13"/>
        <v>138704437.63643759</v>
      </c>
      <c r="BL56" s="13">
        <f t="shared" si="10"/>
        <v>529768015.29456234</v>
      </c>
      <c r="BM56" s="14">
        <v>20.749462005243576</v>
      </c>
      <c r="BN56" s="14">
        <v>79.250537994756414</v>
      </c>
      <c r="BO56" s="16">
        <v>6.224129767811825E-2</v>
      </c>
      <c r="BP56" s="16">
        <v>2.2844608158781862E-2</v>
      </c>
      <c r="BQ56" s="16">
        <v>0.13459727272727273</v>
      </c>
      <c r="BR56" s="16">
        <v>2.9665090909090905E-2</v>
      </c>
      <c r="BS56" s="16">
        <v>4.6863636363636357E-2</v>
      </c>
      <c r="BT56" s="16">
        <v>2.9581818181818189</v>
      </c>
      <c r="BU56" s="16">
        <v>2.0890909090909093</v>
      </c>
      <c r="BV56" s="16">
        <v>4.6863636363636365</v>
      </c>
      <c r="BW56" s="16">
        <f>BT56*5.66</f>
        <v>16.743309090909097</v>
      </c>
      <c r="BX56" s="16">
        <f t="shared" ref="BX56:BY58" si="26">BU56*1.36</f>
        <v>2.8411636363636368</v>
      </c>
      <c r="BY56" s="16">
        <f t="shared" si="26"/>
        <v>6.3734545454545461</v>
      </c>
      <c r="BZ56" s="16">
        <v>2.96E-3</v>
      </c>
      <c r="CA56" s="16">
        <f t="shared" si="18"/>
        <v>3.6463394285714292</v>
      </c>
      <c r="CB56" s="9">
        <f t="shared" si="19"/>
        <v>4.2842759901771394</v>
      </c>
      <c r="CC56" s="16">
        <f t="shared" si="20"/>
        <v>5.1788909088039597E-2</v>
      </c>
      <c r="CD56" s="16">
        <f t="shared" si="21"/>
        <v>0.16878802575344368</v>
      </c>
      <c r="CE56" s="17">
        <f t="shared" si="22"/>
        <v>4.5048529250186231</v>
      </c>
      <c r="CF56" s="9">
        <f t="shared" si="23"/>
        <v>2.170237775084277</v>
      </c>
      <c r="CG56" s="18">
        <v>5271200</v>
      </c>
      <c r="CH56" s="9">
        <f t="shared" si="11"/>
        <v>1.5613921980474683</v>
      </c>
      <c r="CI56" s="9">
        <f t="shared" si="12"/>
        <v>0.19123574873426813</v>
      </c>
      <c r="CJ56" s="5">
        <v>0</v>
      </c>
      <c r="CK56" s="5">
        <v>0</v>
      </c>
      <c r="CL56" s="5">
        <v>0</v>
      </c>
    </row>
    <row r="57" spans="1:90" x14ac:dyDescent="0.25">
      <c r="A57" s="2" t="s">
        <v>213</v>
      </c>
      <c r="B57" s="1" t="s">
        <v>55</v>
      </c>
      <c r="C57" s="1" t="s">
        <v>327</v>
      </c>
      <c r="D57" s="1" t="s">
        <v>340</v>
      </c>
      <c r="E57" s="1" t="s">
        <v>331</v>
      </c>
      <c r="F57" s="21">
        <v>11.059659401199999</v>
      </c>
      <c r="G57" s="22">
        <v>9.8660562971199998E-4</v>
      </c>
      <c r="H57" s="22">
        <v>1.9643726805200001E-7</v>
      </c>
      <c r="I57" s="22">
        <v>282010219.19800001</v>
      </c>
      <c r="J57" s="22">
        <v>91534.769108599998</v>
      </c>
      <c r="K57" s="22">
        <f t="shared" si="15"/>
        <v>0.12082468234642553</v>
      </c>
      <c r="L57" s="22">
        <f t="shared" si="16"/>
        <v>0.10778479470915113</v>
      </c>
      <c r="M57" s="22">
        <f t="shared" si="17"/>
        <v>3.0809081832436087</v>
      </c>
      <c r="N57" s="21">
        <v>2.2177283601400002</v>
      </c>
      <c r="O57" s="21">
        <v>8.8419310124700008</v>
      </c>
      <c r="P57" s="22">
        <v>1.9783071245200001E-4</v>
      </c>
      <c r="Q57" s="22">
        <v>7.8877491543300003E-4</v>
      </c>
      <c r="R57" s="23">
        <v>1.90311041254</v>
      </c>
      <c r="S57" s="23">
        <v>0.31461794914399999</v>
      </c>
      <c r="T57" s="23">
        <v>0</v>
      </c>
      <c r="U57" s="23">
        <v>7.56691349945</v>
      </c>
      <c r="V57" s="23">
        <v>1.2750174896599999</v>
      </c>
      <c r="W57" s="23">
        <v>0</v>
      </c>
      <c r="X57" s="22">
        <v>1.6927638463299998E-4</v>
      </c>
      <c r="Y57" s="22">
        <v>2.85543278709E-5</v>
      </c>
      <c r="Z57" s="22">
        <v>0</v>
      </c>
      <c r="AA57" s="22">
        <v>6.7305593872800005E-4</v>
      </c>
      <c r="AB57" s="22">
        <v>1.1571897784899999E-4</v>
      </c>
      <c r="AC57" s="22">
        <v>0</v>
      </c>
      <c r="AD57" s="21">
        <v>1.7480626981599998E-2</v>
      </c>
      <c r="AE57" s="21">
        <v>4.9297919831999999E-2</v>
      </c>
      <c r="AF57" s="21">
        <v>1.83633185362</v>
      </c>
      <c r="AG57" s="21">
        <v>1.4853290136099999</v>
      </c>
      <c r="AH57" s="21">
        <v>6.0815844978299998</v>
      </c>
      <c r="AI57" s="21">
        <v>0</v>
      </c>
      <c r="AJ57" s="21">
        <v>2.89535913635E-3</v>
      </c>
      <c r="AK57" s="21">
        <v>8.2048619181699992E-3</v>
      </c>
      <c r="AL57" s="21">
        <v>0.30351772851100001</v>
      </c>
      <c r="AM57" s="21">
        <v>0.25027647947799997</v>
      </c>
      <c r="AN57" s="21">
        <v>1.0247410101100001</v>
      </c>
      <c r="AO57" s="21">
        <v>0</v>
      </c>
      <c r="AP57" s="22">
        <v>2.62779139499E-7</v>
      </c>
      <c r="AQ57" s="22">
        <v>7.4466291044100005E-7</v>
      </c>
      <c r="AR57" s="22">
        <v>2.75468858644E-5</v>
      </c>
      <c r="AS57" s="22">
        <v>1.5548532100500002E-6</v>
      </c>
      <c r="AT57" s="22">
        <v>4.3849130208200003E-6</v>
      </c>
      <c r="AU57" s="22">
        <v>1.6333661809000001E-4</v>
      </c>
      <c r="AV57" s="22">
        <v>1.3211588996799999E-4</v>
      </c>
      <c r="AW57" s="22">
        <v>5.4094004840999992E-4</v>
      </c>
      <c r="AX57" s="22">
        <v>0</v>
      </c>
      <c r="AY57" s="22">
        <v>2.2714777264400001E-5</v>
      </c>
      <c r="AZ57" s="22">
        <v>9.3004200382599991E-5</v>
      </c>
      <c r="BA57" s="22">
        <v>0</v>
      </c>
      <c r="BB57" s="7">
        <v>192.13466201899999</v>
      </c>
      <c r="BC57" s="1">
        <v>6.5112302246400008E-3</v>
      </c>
      <c r="BD57" s="9">
        <v>0.97699999999999998</v>
      </c>
      <c r="BE57" s="9">
        <v>1.4999999999999999E-2</v>
      </c>
      <c r="BF57" s="10">
        <v>8.0000000000000002E-3</v>
      </c>
      <c r="BG57" s="11">
        <v>-20.440285451800001</v>
      </c>
      <c r="BH57" s="12">
        <v>326.73145449999998</v>
      </c>
      <c r="BI57" s="20">
        <v>1</v>
      </c>
      <c r="BJ57" s="15">
        <v>326.73145449999998</v>
      </c>
      <c r="BK57" s="13">
        <f t="shared" si="13"/>
        <v>1384939.5371575854</v>
      </c>
      <c r="BL57" s="13">
        <f t="shared" si="10"/>
        <v>280625279.66084242</v>
      </c>
      <c r="BM57" s="14">
        <v>0.49109551458673067</v>
      </c>
      <c r="BN57" s="14">
        <v>99.508904485413268</v>
      </c>
      <c r="BO57" s="16">
        <v>1.5452072919729491E-2</v>
      </c>
      <c r="BP57" s="16">
        <v>5.6714201705380766E-3</v>
      </c>
      <c r="BQ57" s="16">
        <v>2.4900909090909088E-2</v>
      </c>
      <c r="BR57" s="16">
        <v>1.8589090909090908E-3</v>
      </c>
      <c r="BS57" s="16">
        <v>1.1181818181818183E-3</v>
      </c>
      <c r="BT57" s="16">
        <v>0.54727272727272724</v>
      </c>
      <c r="BU57" s="16">
        <v>0.13090909090909092</v>
      </c>
      <c r="BV57" s="16">
        <v>0.11181818181818182</v>
      </c>
      <c r="BW57" s="16">
        <f>BT57*5.66</f>
        <v>3.0975636363636361</v>
      </c>
      <c r="BX57" s="16">
        <f t="shared" si="26"/>
        <v>0.17803636363636366</v>
      </c>
      <c r="BY57" s="16">
        <f t="shared" si="26"/>
        <v>0.15207272727272728</v>
      </c>
      <c r="BZ57" s="16">
        <v>2.96E-3</v>
      </c>
      <c r="CA57" s="16">
        <f t="shared" si="18"/>
        <v>0.67458399999999996</v>
      </c>
      <c r="CB57" s="9">
        <f t="shared" si="19"/>
        <v>1.0636176859747133</v>
      </c>
      <c r="CC57" s="16">
        <f t="shared" si="20"/>
        <v>1.2857154807409586E-2</v>
      </c>
      <c r="CD57" s="16">
        <f t="shared" si="21"/>
        <v>4.1903446412819761E-2</v>
      </c>
      <c r="CE57" s="17">
        <f t="shared" si="22"/>
        <v>1.1183782871949428</v>
      </c>
      <c r="CF57" s="9">
        <f t="shared" si="23"/>
        <v>0.53878491620111724</v>
      </c>
      <c r="CG57" s="18">
        <v>3455090.9090909092</v>
      </c>
      <c r="CH57" s="9">
        <f t="shared" si="11"/>
        <v>0.16930461330806446</v>
      </c>
      <c r="CI57" s="9">
        <f t="shared" si="12"/>
        <v>1.9899319444090721E-2</v>
      </c>
      <c r="CJ57" s="5">
        <v>32.557173754300209</v>
      </c>
      <c r="CK57" s="5">
        <v>0</v>
      </c>
      <c r="CL57" s="5">
        <v>32.557173754300209</v>
      </c>
    </row>
    <row r="58" spans="1:90" x14ac:dyDescent="0.25">
      <c r="A58" s="2" t="s">
        <v>214</v>
      </c>
      <c r="B58" s="1" t="s">
        <v>56</v>
      </c>
      <c r="C58" s="1" t="s">
        <v>327</v>
      </c>
      <c r="D58" s="1" t="s">
        <v>340</v>
      </c>
      <c r="E58" s="1" t="s">
        <v>331</v>
      </c>
      <c r="F58" s="21">
        <v>0.22811488997099999</v>
      </c>
      <c r="G58" s="22">
        <v>1.9376382310800001E-5</v>
      </c>
      <c r="H58" s="22">
        <v>0</v>
      </c>
      <c r="I58" s="22">
        <v>28353702.747099999</v>
      </c>
      <c r="J58" s="22">
        <v>2148.9995651200002</v>
      </c>
      <c r="K58" s="22">
        <f t="shared" si="15"/>
        <v>0.10614934208153833</v>
      </c>
      <c r="L58" s="22">
        <f t="shared" si="16"/>
        <v>9.016466371280081E-2</v>
      </c>
      <c r="M58" s="22">
        <f t="shared" si="17"/>
        <v>13.193908089747207</v>
      </c>
      <c r="N58" s="21">
        <v>0.22811488997099999</v>
      </c>
      <c r="O58" s="21">
        <v>0</v>
      </c>
      <c r="P58" s="22">
        <v>1.9376382310800001E-5</v>
      </c>
      <c r="Q58" s="22">
        <v>0</v>
      </c>
      <c r="R58" s="23">
        <v>0.213757993708</v>
      </c>
      <c r="S58" s="23">
        <v>1.4356893548699999E-2</v>
      </c>
      <c r="T58" s="23">
        <v>0</v>
      </c>
      <c r="U58" s="23">
        <v>0</v>
      </c>
      <c r="V58" s="23">
        <v>0</v>
      </c>
      <c r="W58" s="23">
        <v>0</v>
      </c>
      <c r="X58" s="22">
        <v>1.9013179780300001E-5</v>
      </c>
      <c r="Y58" s="22">
        <v>3.6320257731099995E-7</v>
      </c>
      <c r="Z58" s="22">
        <v>0</v>
      </c>
      <c r="AA58" s="22">
        <v>0</v>
      </c>
      <c r="AB58" s="22">
        <v>0</v>
      </c>
      <c r="AC58" s="22">
        <v>0</v>
      </c>
      <c r="AD58" s="21">
        <v>0</v>
      </c>
      <c r="AE58" s="21">
        <v>0</v>
      </c>
      <c r="AF58" s="21">
        <v>0.21375799391200001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1.43568935134E-2</v>
      </c>
      <c r="AM58" s="21">
        <v>0</v>
      </c>
      <c r="AN58" s="21">
        <v>0</v>
      </c>
      <c r="AO58" s="21">
        <v>0</v>
      </c>
      <c r="AP58" s="22">
        <v>0</v>
      </c>
      <c r="AQ58" s="22">
        <v>0</v>
      </c>
      <c r="AR58" s="22">
        <v>3.6320257841499999E-7</v>
      </c>
      <c r="AS58" s="22">
        <v>0</v>
      </c>
      <c r="AT58" s="22">
        <v>0</v>
      </c>
      <c r="AU58" s="22">
        <v>1.9013179720199998E-5</v>
      </c>
      <c r="AV58" s="22">
        <v>0</v>
      </c>
      <c r="AW58" s="22">
        <v>0</v>
      </c>
      <c r="AX58" s="22">
        <v>0</v>
      </c>
      <c r="AY58" s="22">
        <v>0</v>
      </c>
      <c r="AZ58" s="22">
        <v>0</v>
      </c>
      <c r="BA58" s="22">
        <v>0</v>
      </c>
      <c r="BB58" s="7">
        <v>4.37783405418</v>
      </c>
      <c r="BC58" s="1">
        <v>1.4835993287E-4</v>
      </c>
      <c r="BD58" s="9">
        <v>1</v>
      </c>
      <c r="BE58" s="9">
        <v>0</v>
      </c>
      <c r="BF58" s="10">
        <v>0</v>
      </c>
      <c r="BG58" s="11">
        <v>-5.01141893438</v>
      </c>
      <c r="BH58" s="12">
        <v>91.073272729999999</v>
      </c>
      <c r="BI58" s="20">
        <v>1</v>
      </c>
      <c r="BJ58" s="15">
        <v>91.073272729999999</v>
      </c>
      <c r="BK58" s="13">
        <f t="shared" si="13"/>
        <v>197908.62888734491</v>
      </c>
      <c r="BL58" s="13">
        <f t="shared" si="10"/>
        <v>28155794.118212659</v>
      </c>
      <c r="BM58" s="14">
        <v>0.69799923718106582</v>
      </c>
      <c r="BN58" s="14">
        <v>99.302000762818935</v>
      </c>
      <c r="BO58" s="16">
        <v>1.495890410958904E-2</v>
      </c>
      <c r="BP58" s="16">
        <v>5.4904109589041091E-3</v>
      </c>
      <c r="BQ58" s="16">
        <v>0.17508399999999996</v>
      </c>
      <c r="BR58" s="16">
        <v>2.31886E-2</v>
      </c>
      <c r="BS58" s="16">
        <v>1.4610000000000001E-2</v>
      </c>
      <c r="BT58" s="16">
        <v>3.8480000000000003</v>
      </c>
      <c r="BU58" s="16">
        <v>1.6329999999999998</v>
      </c>
      <c r="BV58" s="16">
        <v>1.4609999999999999</v>
      </c>
      <c r="BW58" s="16">
        <f>BT58*5.66</f>
        <v>21.779680000000003</v>
      </c>
      <c r="BX58" s="16">
        <f t="shared" si="26"/>
        <v>2.2208799999999997</v>
      </c>
      <c r="BY58" s="16">
        <f t="shared" si="26"/>
        <v>1.9869599999999998</v>
      </c>
      <c r="BZ58" s="16">
        <v>2.96E-3</v>
      </c>
      <c r="CA58" s="16">
        <f t="shared" si="18"/>
        <v>4.7431547428571434</v>
      </c>
      <c r="CB58" s="9">
        <f t="shared" si="19"/>
        <v>1.0296712328767121</v>
      </c>
      <c r="CC58" s="16">
        <f t="shared" si="20"/>
        <v>1.2446805479452054E-2</v>
      </c>
      <c r="CD58" s="16">
        <f t="shared" si="21"/>
        <v>4.0566054794520544E-2</v>
      </c>
      <c r="CE58" s="17">
        <f t="shared" si="22"/>
        <v>1.0826840931506847</v>
      </c>
      <c r="CF58" s="9">
        <f t="shared" si="23"/>
        <v>0.52158904109589033</v>
      </c>
      <c r="CG58" s="18">
        <v>336000</v>
      </c>
      <c r="CH58" s="9">
        <f t="shared" si="11"/>
        <v>7.8399523463013696E-2</v>
      </c>
      <c r="CI58" s="9">
        <f t="shared" si="12"/>
        <v>1.0864542486706852E-2</v>
      </c>
      <c r="CJ58" s="5">
        <v>67.898088905230679</v>
      </c>
      <c r="CK58" s="5">
        <v>0</v>
      </c>
      <c r="CL58" s="5">
        <v>67.898088905230679</v>
      </c>
    </row>
    <row r="59" spans="1:90" x14ac:dyDescent="0.25">
      <c r="A59" s="2" t="s">
        <v>215</v>
      </c>
      <c r="B59" s="1" t="s">
        <v>57</v>
      </c>
      <c r="C59" s="1" t="s">
        <v>327</v>
      </c>
      <c r="D59" s="1" t="s">
        <v>340</v>
      </c>
      <c r="E59" s="1" t="s">
        <v>331</v>
      </c>
      <c r="F59" s="21">
        <v>45.896016599299998</v>
      </c>
      <c r="G59" s="22">
        <v>4.3650006821500005E-3</v>
      </c>
      <c r="H59" s="22">
        <v>1.5292631927900001E-8</v>
      </c>
      <c r="I59" s="22">
        <v>215149694.58500001</v>
      </c>
      <c r="J59" s="22">
        <v>20962.6838259</v>
      </c>
      <c r="K59" s="22">
        <f t="shared" si="15"/>
        <v>2.1894151045007963</v>
      </c>
      <c r="L59" s="22">
        <f t="shared" si="16"/>
        <v>2.0822718686225268</v>
      </c>
      <c r="M59" s="22">
        <f t="shared" si="17"/>
        <v>10.263461318782873</v>
      </c>
      <c r="N59" s="21">
        <v>45.896016599299998</v>
      </c>
      <c r="O59" s="21">
        <v>0</v>
      </c>
      <c r="P59" s="22">
        <v>4.3650006821500005E-3</v>
      </c>
      <c r="Q59" s="22">
        <v>0</v>
      </c>
      <c r="R59" s="23">
        <v>42.677207794399997</v>
      </c>
      <c r="S59" s="23">
        <v>3.2188087815399999</v>
      </c>
      <c r="T59" s="23">
        <v>0</v>
      </c>
      <c r="U59" s="23">
        <v>0</v>
      </c>
      <c r="V59" s="23">
        <v>0</v>
      </c>
      <c r="W59" s="23">
        <v>0</v>
      </c>
      <c r="X59" s="22">
        <v>3.79601907765E-3</v>
      </c>
      <c r="Y59" s="22">
        <v>5.6898159430199995E-4</v>
      </c>
      <c r="Z59" s="22">
        <v>0</v>
      </c>
      <c r="AA59" s="22">
        <v>0</v>
      </c>
      <c r="AB59" s="22">
        <v>0</v>
      </c>
      <c r="AC59" s="22">
        <v>0</v>
      </c>
      <c r="AD59" s="21">
        <v>0</v>
      </c>
      <c r="AE59" s="21">
        <v>0</v>
      </c>
      <c r="AF59" s="21">
        <v>42.677207730899994</v>
      </c>
      <c r="AG59" s="21">
        <v>0</v>
      </c>
      <c r="AH59" s="21">
        <v>0</v>
      </c>
      <c r="AI59" s="21">
        <v>0</v>
      </c>
      <c r="AJ59" s="21">
        <v>0</v>
      </c>
      <c r="AK59" s="21">
        <v>0</v>
      </c>
      <c r="AL59" s="21">
        <v>3.2188087840900002</v>
      </c>
      <c r="AM59" s="21">
        <v>0</v>
      </c>
      <c r="AN59" s="21">
        <v>0</v>
      </c>
      <c r="AO59" s="21">
        <v>0</v>
      </c>
      <c r="AP59" s="22">
        <v>0</v>
      </c>
      <c r="AQ59" s="22">
        <v>0</v>
      </c>
      <c r="AR59" s="22">
        <v>5.6898159530700007E-4</v>
      </c>
      <c r="AS59" s="22">
        <v>0</v>
      </c>
      <c r="AT59" s="22">
        <v>0</v>
      </c>
      <c r="AU59" s="22">
        <v>3.7960190812500001E-3</v>
      </c>
      <c r="AV59" s="22">
        <v>0</v>
      </c>
      <c r="AW59" s="22">
        <v>0</v>
      </c>
      <c r="AX59" s="22">
        <v>0</v>
      </c>
      <c r="AY59" s="22">
        <v>0</v>
      </c>
      <c r="AZ59" s="22">
        <v>0</v>
      </c>
      <c r="BA59" s="22">
        <v>0</v>
      </c>
      <c r="BB59" s="7">
        <v>330.88167113100002</v>
      </c>
      <c r="BC59" s="1">
        <v>1.1213212197999999E-2</v>
      </c>
      <c r="BD59" s="9">
        <v>1</v>
      </c>
      <c r="BE59" s="9">
        <v>0</v>
      </c>
      <c r="BF59" s="10">
        <v>0</v>
      </c>
      <c r="BG59" s="11">
        <v>-6.5084914105599996</v>
      </c>
      <c r="BH59" s="12">
        <v>636.3639091</v>
      </c>
      <c r="BI59" s="20">
        <v>1</v>
      </c>
      <c r="BJ59" s="15">
        <v>636.3639091</v>
      </c>
      <c r="BK59" s="13">
        <f t="shared" si="13"/>
        <v>39728781.15196155</v>
      </c>
      <c r="BL59" s="13">
        <f t="shared" si="10"/>
        <v>175420913.43303847</v>
      </c>
      <c r="BM59" s="14">
        <v>18.465646083576356</v>
      </c>
      <c r="BN59" s="14">
        <v>81.534353916423655</v>
      </c>
      <c r="BO59" s="16" t="s">
        <v>390</v>
      </c>
      <c r="BP59" s="16" t="s">
        <v>390</v>
      </c>
      <c r="BQ59" s="16" t="s">
        <v>390</v>
      </c>
      <c r="BR59" s="16" t="s">
        <v>390</v>
      </c>
      <c r="BS59" s="16" t="s">
        <v>390</v>
      </c>
      <c r="BT59" s="16" t="s">
        <v>390</v>
      </c>
      <c r="BU59" s="16" t="s">
        <v>390</v>
      </c>
      <c r="BV59" s="16" t="s">
        <v>390</v>
      </c>
      <c r="BW59" s="16" t="s">
        <v>390</v>
      </c>
      <c r="BX59" s="16" t="s">
        <v>390</v>
      </c>
      <c r="BY59" s="16" t="s">
        <v>390</v>
      </c>
      <c r="BZ59" s="16" t="s">
        <v>390</v>
      </c>
      <c r="CA59" s="16" t="s">
        <v>390</v>
      </c>
      <c r="CB59" s="16" t="s">
        <v>390</v>
      </c>
      <c r="CC59" s="16" t="s">
        <v>390</v>
      </c>
      <c r="CD59" s="16" t="s">
        <v>390</v>
      </c>
      <c r="CE59" s="16" t="s">
        <v>390</v>
      </c>
      <c r="CF59" s="16" t="s">
        <v>390</v>
      </c>
      <c r="CG59" s="18">
        <v>534090.90909090918</v>
      </c>
      <c r="CH59" s="9" t="s">
        <v>447</v>
      </c>
      <c r="CI59" s="9" t="s">
        <v>447</v>
      </c>
      <c r="CJ59" s="5">
        <v>68.238385555038946</v>
      </c>
      <c r="CK59" s="5">
        <v>0</v>
      </c>
      <c r="CL59" s="5">
        <v>68.238385555038946</v>
      </c>
    </row>
    <row r="60" spans="1:90" x14ac:dyDescent="0.25">
      <c r="A60" s="2" t="s">
        <v>216</v>
      </c>
      <c r="B60" s="1" t="s">
        <v>58</v>
      </c>
      <c r="C60" s="1" t="s">
        <v>324</v>
      </c>
      <c r="D60" s="1" t="s">
        <v>325</v>
      </c>
      <c r="E60" s="1" t="s">
        <v>326</v>
      </c>
      <c r="F60" s="21">
        <v>11996.968582400001</v>
      </c>
      <c r="G60" s="22">
        <v>1.64042149547</v>
      </c>
      <c r="H60" s="22">
        <v>1.54288359888E-2</v>
      </c>
      <c r="I60" s="22">
        <v>6055615936.1099997</v>
      </c>
      <c r="J60" s="22">
        <v>1466454.21324</v>
      </c>
      <c r="K60" s="22">
        <f t="shared" si="15"/>
        <v>8.1809363525191614</v>
      </c>
      <c r="L60" s="22">
        <f t="shared" si="16"/>
        <v>11.186312403478556</v>
      </c>
      <c r="M60" s="22">
        <f t="shared" si="17"/>
        <v>4.1294272139125674</v>
      </c>
      <c r="N60" s="21">
        <v>8984.7494586800003</v>
      </c>
      <c r="O60" s="21">
        <v>3012.2190726499998</v>
      </c>
      <c r="P60" s="22">
        <v>1.2397450977700002</v>
      </c>
      <c r="Q60" s="22">
        <v>0.40067639607</v>
      </c>
      <c r="R60" s="23">
        <v>5099.05506393</v>
      </c>
      <c r="S60" s="23">
        <v>3885.69442239</v>
      </c>
      <c r="T60" s="23">
        <v>0</v>
      </c>
      <c r="U60" s="23">
        <v>1841.4403805699999</v>
      </c>
      <c r="V60" s="23">
        <v>1170.7787029599999</v>
      </c>
      <c r="W60" s="23">
        <v>0</v>
      </c>
      <c r="X60" s="22">
        <v>0.45354678241200003</v>
      </c>
      <c r="Y60" s="22">
        <v>0.78619831127600004</v>
      </c>
      <c r="Z60" s="22">
        <v>0</v>
      </c>
      <c r="AA60" s="22">
        <v>0.163791007036</v>
      </c>
      <c r="AB60" s="22">
        <v>0.23688538887600002</v>
      </c>
      <c r="AC60" s="22">
        <v>0</v>
      </c>
      <c r="AD60" s="21">
        <v>1056.2685595299999</v>
      </c>
      <c r="AE60" s="21">
        <v>3859.4771404200001</v>
      </c>
      <c r="AF60" s="21">
        <v>183.309356743</v>
      </c>
      <c r="AG60" s="21">
        <v>258.83438168700002</v>
      </c>
      <c r="AH60" s="21">
        <v>1582.60599963</v>
      </c>
      <c r="AI60" s="21">
        <v>0</v>
      </c>
      <c r="AJ60" s="21">
        <v>818.30797603899998</v>
      </c>
      <c r="AK60" s="21">
        <v>2922.2180868400001</v>
      </c>
      <c r="AL60" s="21">
        <v>145.16836477300001</v>
      </c>
      <c r="AM60" s="21">
        <v>164.565622099</v>
      </c>
      <c r="AN60" s="21">
        <v>1006.21307819</v>
      </c>
      <c r="AO60" s="21">
        <v>0</v>
      </c>
      <c r="AP60" s="22">
        <v>0.165569464783</v>
      </c>
      <c r="AQ60" s="22">
        <v>0.59125671465200003</v>
      </c>
      <c r="AR60" s="22">
        <v>2.9372130279900002E-2</v>
      </c>
      <c r="AS60" s="22">
        <v>9.3952154269799998E-2</v>
      </c>
      <c r="AT60" s="22">
        <v>0.34328977134200001</v>
      </c>
      <c r="AU60" s="22">
        <v>1.6304858104100001E-2</v>
      </c>
      <c r="AV60" s="22">
        <v>2.3022599263700001E-2</v>
      </c>
      <c r="AW60" s="22">
        <v>0.14076840757199999</v>
      </c>
      <c r="AX60" s="22">
        <v>0</v>
      </c>
      <c r="AY60" s="22">
        <v>3.3296806141000002E-2</v>
      </c>
      <c r="AZ60" s="22">
        <v>0.20358858278899999</v>
      </c>
      <c r="BA60" s="22">
        <v>0</v>
      </c>
      <c r="BB60" s="7">
        <v>4626.0955372799999</v>
      </c>
      <c r="BC60" s="1">
        <v>7.3246512434999994E-2</v>
      </c>
      <c r="BD60" s="9">
        <v>0.05</v>
      </c>
      <c r="BE60" s="9">
        <v>0.7</v>
      </c>
      <c r="BF60" s="10">
        <v>0.25</v>
      </c>
      <c r="BG60" s="11">
        <v>-50.2975563814</v>
      </c>
      <c r="BH60" s="15">
        <v>759.33333333333337</v>
      </c>
      <c r="BI60" s="20">
        <v>0.95925373134328362</v>
      </c>
      <c r="BJ60" s="15">
        <v>728.39333333333343</v>
      </c>
      <c r="BK60" s="13">
        <f t="shared" si="13"/>
        <v>3043904979.1328583</v>
      </c>
      <c r="BL60" s="13">
        <f t="shared" si="10"/>
        <v>3011710956.9771414</v>
      </c>
      <c r="BM60" s="14">
        <v>50.265819550772214</v>
      </c>
      <c r="BN60" s="14">
        <v>49.734180449227779</v>
      </c>
      <c r="BO60" s="16">
        <v>7.2144652777777774</v>
      </c>
      <c r="BP60" s="16">
        <v>3.0262246816675384</v>
      </c>
      <c r="BQ60" s="16">
        <v>2.8064399999999998</v>
      </c>
      <c r="BR60" s="16">
        <v>0.33393236363636364</v>
      </c>
      <c r="BS60" s="16">
        <v>0.13636363636363635</v>
      </c>
      <c r="BT60" s="16">
        <v>61.68</v>
      </c>
      <c r="BU60" s="16">
        <v>23.516363636363632</v>
      </c>
      <c r="BV60" s="16">
        <v>13.636363636363637</v>
      </c>
      <c r="BW60" s="16">
        <f>BT60*5.66</f>
        <v>349.10880000000003</v>
      </c>
      <c r="BX60" s="16">
        <f>BU60*1.36</f>
        <v>31.982254545454541</v>
      </c>
      <c r="BY60" s="16">
        <f>BV60*1.36</f>
        <v>18.545454545454547</v>
      </c>
      <c r="BZ60" s="16">
        <v>7.1999999999999998E-3</v>
      </c>
      <c r="CA60" s="16">
        <f>(BT60*BZ60)*(44/28)*265</f>
        <v>184.93426285714287</v>
      </c>
      <c r="CB60" s="9">
        <f>(74.1+69.3+63.1)/3*BO60</f>
        <v>496.59569328703697</v>
      </c>
      <c r="CC60" s="16">
        <f>(0.00415+0.08+0.005)/3*BO60*28</f>
        <v>6.0029160754629629</v>
      </c>
      <c r="CD60" s="16">
        <f>(0.0286+0.002+0.0001)/3*BO60*265</f>
        <v>19.564427422453704</v>
      </c>
      <c r="CE60" s="17">
        <f>CB60+CC60+CD60</f>
        <v>522.16303678495365</v>
      </c>
      <c r="CF60" s="9">
        <f>BP60*95</f>
        <v>287.49134475841618</v>
      </c>
      <c r="CG60" s="18">
        <v>3767181.8181818179</v>
      </c>
      <c r="CH60" s="9">
        <f t="shared" si="11"/>
        <v>50.922601303041318</v>
      </c>
      <c r="CI60" s="9">
        <f t="shared" si="12"/>
        <v>5.2522996486846383</v>
      </c>
      <c r="CJ60" s="5">
        <v>68.473837609694584</v>
      </c>
      <c r="CK60" s="5">
        <v>27.405601757120575</v>
      </c>
      <c r="CL60" s="5">
        <v>77.113772123684811</v>
      </c>
    </row>
    <row r="61" spans="1:90" x14ac:dyDescent="0.25">
      <c r="A61" s="2" t="s">
        <v>217</v>
      </c>
      <c r="B61" s="1" t="s">
        <v>59</v>
      </c>
      <c r="C61" s="1" t="s">
        <v>332</v>
      </c>
      <c r="D61" s="1" t="s">
        <v>333</v>
      </c>
      <c r="E61" s="1" t="s">
        <v>339</v>
      </c>
      <c r="F61" s="21">
        <v>0.28116281703099999</v>
      </c>
      <c r="G61" s="22">
        <v>3.8153541088099997E-5</v>
      </c>
      <c r="H61" s="22">
        <v>0</v>
      </c>
      <c r="I61" s="22">
        <v>374194.65625</v>
      </c>
      <c r="J61" s="22">
        <v>176.37555122399999</v>
      </c>
      <c r="K61" s="22">
        <f t="shared" si="15"/>
        <v>1.594114462462648</v>
      </c>
      <c r="L61" s="22">
        <f t="shared" si="16"/>
        <v>2.1631989707941064</v>
      </c>
      <c r="M61" s="22">
        <f t="shared" si="17"/>
        <v>2.1215789470433255</v>
      </c>
      <c r="N61" s="21">
        <v>0</v>
      </c>
      <c r="O61" s="21">
        <v>0.28116281703099999</v>
      </c>
      <c r="P61" s="22">
        <v>0</v>
      </c>
      <c r="Q61" s="22">
        <v>3.8153541088099997E-5</v>
      </c>
      <c r="R61" s="23">
        <v>0</v>
      </c>
      <c r="S61" s="23">
        <v>0</v>
      </c>
      <c r="T61" s="23">
        <v>0</v>
      </c>
      <c r="U61" s="23">
        <v>0.15965819731399999</v>
      </c>
      <c r="V61" s="23">
        <v>0.121504606679</v>
      </c>
      <c r="W61" s="23">
        <v>0</v>
      </c>
      <c r="X61" s="22">
        <v>0</v>
      </c>
      <c r="Y61" s="22">
        <v>0</v>
      </c>
      <c r="Z61" s="22">
        <v>0</v>
      </c>
      <c r="AA61" s="22">
        <v>1.4201153874399999E-5</v>
      </c>
      <c r="AB61" s="22">
        <v>2.39523873329E-5</v>
      </c>
      <c r="AC61" s="22">
        <v>0</v>
      </c>
      <c r="AD61" s="21">
        <v>0</v>
      </c>
      <c r="AE61" s="21">
        <v>0</v>
      </c>
      <c r="AF61" s="21">
        <v>0</v>
      </c>
      <c r="AG61" s="21">
        <v>0.119856018555</v>
      </c>
      <c r="AH61" s="21">
        <v>3.98021821289E-2</v>
      </c>
      <c r="AI61" s="21">
        <v>0</v>
      </c>
      <c r="AJ61" s="21">
        <v>0</v>
      </c>
      <c r="AK61" s="21">
        <v>0</v>
      </c>
      <c r="AL61" s="21">
        <v>0</v>
      </c>
      <c r="AM61" s="21">
        <v>9.1213968749999999E-2</v>
      </c>
      <c r="AN61" s="21">
        <v>3.0290635742199999E-2</v>
      </c>
      <c r="AO61" s="21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1.0660860249999999E-5</v>
      </c>
      <c r="AW61" s="22">
        <v>3.5402936249999999E-6</v>
      </c>
      <c r="AX61" s="22">
        <v>0</v>
      </c>
      <c r="AY61" s="22">
        <v>1.7981148000000001E-5</v>
      </c>
      <c r="AZ61" s="22">
        <v>5.9712389999999997E-6</v>
      </c>
      <c r="BA61" s="22">
        <v>0</v>
      </c>
      <c r="BB61" s="7">
        <v>0</v>
      </c>
      <c r="BC61" s="1">
        <v>0</v>
      </c>
      <c r="BD61" s="9">
        <v>0</v>
      </c>
      <c r="BE61" s="9">
        <v>0.13200000000000001</v>
      </c>
      <c r="BF61" s="10">
        <v>0.86799999999999999</v>
      </c>
      <c r="BG61" s="11">
        <v>-47.069160461400003</v>
      </c>
      <c r="BH61" s="12">
        <v>709.67345450000005</v>
      </c>
      <c r="BI61" s="20">
        <v>1</v>
      </c>
      <c r="BJ61" s="15">
        <v>709.67345450000005</v>
      </c>
      <c r="BK61" s="13">
        <f t="shared" si="13"/>
        <v>0</v>
      </c>
      <c r="BL61" s="13">
        <f t="shared" si="10"/>
        <v>374194.65625</v>
      </c>
      <c r="BM61" s="14">
        <v>0</v>
      </c>
      <c r="BN61" s="14">
        <v>100</v>
      </c>
      <c r="BO61" s="16" t="s">
        <v>390</v>
      </c>
      <c r="BP61" s="16" t="s">
        <v>390</v>
      </c>
      <c r="BQ61" s="16" t="s">
        <v>390</v>
      </c>
      <c r="BR61" s="16" t="s">
        <v>390</v>
      </c>
      <c r="BS61" s="16" t="s">
        <v>390</v>
      </c>
      <c r="BT61" s="16" t="s">
        <v>390</v>
      </c>
      <c r="BU61" s="16" t="s">
        <v>390</v>
      </c>
      <c r="BV61" s="16" t="s">
        <v>390</v>
      </c>
      <c r="BW61" s="16" t="s">
        <v>390</v>
      </c>
      <c r="BX61" s="16" t="s">
        <v>390</v>
      </c>
      <c r="BY61" s="16" t="s">
        <v>390</v>
      </c>
      <c r="BZ61" s="16" t="s">
        <v>390</v>
      </c>
      <c r="CA61" s="16" t="s">
        <v>390</v>
      </c>
      <c r="CB61" s="16" t="s">
        <v>390</v>
      </c>
      <c r="CC61" s="16" t="s">
        <v>390</v>
      </c>
      <c r="CD61" s="16" t="s">
        <v>390</v>
      </c>
      <c r="CE61" s="16" t="s">
        <v>390</v>
      </c>
      <c r="CF61" s="16" t="s">
        <v>390</v>
      </c>
      <c r="CG61" s="18">
        <v>8636.363636363636</v>
      </c>
      <c r="CH61" s="9" t="s">
        <v>447</v>
      </c>
      <c r="CI61" s="9" t="s">
        <v>447</v>
      </c>
      <c r="CJ61" s="5">
        <v>73.542498196016481</v>
      </c>
      <c r="CK61" s="5">
        <v>0</v>
      </c>
      <c r="CL61" s="5">
        <v>73.542498196016481</v>
      </c>
    </row>
    <row r="62" spans="1:90" x14ac:dyDescent="0.25">
      <c r="A62" s="2" t="s">
        <v>218</v>
      </c>
      <c r="B62" s="1" t="s">
        <v>60</v>
      </c>
      <c r="C62" s="1" t="s">
        <v>332</v>
      </c>
      <c r="D62" s="1" t="s">
        <v>338</v>
      </c>
      <c r="E62" s="1" t="s">
        <v>339</v>
      </c>
      <c r="F62" s="21">
        <v>1301.7491351399999</v>
      </c>
      <c r="G62" s="22">
        <v>0.122216751515</v>
      </c>
      <c r="H62" s="22">
        <v>2.3422095123700001E-6</v>
      </c>
      <c r="I62" s="22">
        <v>1902298737.6600001</v>
      </c>
      <c r="J62" s="22">
        <v>143817.02202</v>
      </c>
      <c r="K62" s="22">
        <f t="shared" si="15"/>
        <v>9.0514260193690514</v>
      </c>
      <c r="L62" s="22">
        <f t="shared" si="16"/>
        <v>8.4980727453808527</v>
      </c>
      <c r="M62" s="22">
        <f t="shared" si="17"/>
        <v>13.227215464073895</v>
      </c>
      <c r="N62" s="21">
        <v>732.107998501</v>
      </c>
      <c r="O62" s="21">
        <v>569.64113824799995</v>
      </c>
      <c r="P62" s="22">
        <v>6.8767148502399997E-2</v>
      </c>
      <c r="Q62" s="22">
        <v>5.3449602661800003E-2</v>
      </c>
      <c r="R62" s="23">
        <v>399.70784880500003</v>
      </c>
      <c r="S62" s="23">
        <v>332.400151532</v>
      </c>
      <c r="T62" s="23">
        <v>0</v>
      </c>
      <c r="U62" s="23">
        <v>316.197703176</v>
      </c>
      <c r="V62" s="23">
        <v>253.443432239</v>
      </c>
      <c r="W62" s="23">
        <v>0</v>
      </c>
      <c r="X62" s="22">
        <v>3.55529026678E-2</v>
      </c>
      <c r="Y62" s="22">
        <v>3.3214246295999998E-2</v>
      </c>
      <c r="Z62" s="22">
        <v>0</v>
      </c>
      <c r="AA62" s="22">
        <v>2.8124907501900002E-2</v>
      </c>
      <c r="AB62" s="22">
        <v>2.5324695369500001E-2</v>
      </c>
      <c r="AC62" s="22">
        <v>0</v>
      </c>
      <c r="AD62" s="21">
        <v>21.304007689700001</v>
      </c>
      <c r="AE62" s="21">
        <v>165.74801827599998</v>
      </c>
      <c r="AF62" s="21">
        <v>212.65582028700001</v>
      </c>
      <c r="AG62" s="21">
        <v>26.690334500799999</v>
      </c>
      <c r="AH62" s="21">
        <v>289.50736866900002</v>
      </c>
      <c r="AI62" s="21">
        <v>0</v>
      </c>
      <c r="AJ62" s="21">
        <v>18.059326739399999</v>
      </c>
      <c r="AK62" s="21">
        <v>137.60711832199999</v>
      </c>
      <c r="AL62" s="21">
        <v>176.733706979</v>
      </c>
      <c r="AM62" s="21">
        <v>21.393229499099998</v>
      </c>
      <c r="AN62" s="21">
        <v>232.05020378699999</v>
      </c>
      <c r="AO62" s="21">
        <v>0</v>
      </c>
      <c r="AP62" s="22">
        <v>1.8045326433399999E-3</v>
      </c>
      <c r="AQ62" s="22">
        <v>1.37500440685E-2</v>
      </c>
      <c r="AR62" s="22">
        <v>1.7659669661099997E-2</v>
      </c>
      <c r="AS62" s="22">
        <v>1.8949323121700001E-3</v>
      </c>
      <c r="AT62" s="22">
        <v>1.47428258105E-2</v>
      </c>
      <c r="AU62" s="22">
        <v>1.8915144374499999E-2</v>
      </c>
      <c r="AV62" s="22">
        <v>2.3740311223600001E-3</v>
      </c>
      <c r="AW62" s="22">
        <v>2.57508764116E-2</v>
      </c>
      <c r="AX62" s="22">
        <v>0</v>
      </c>
      <c r="AY62" s="22">
        <v>2.1376644711700002E-3</v>
      </c>
      <c r="AZ62" s="22">
        <v>2.31870309045E-2</v>
      </c>
      <c r="BA62" s="22">
        <v>0</v>
      </c>
      <c r="BB62" s="7">
        <v>2634.2460129000001</v>
      </c>
      <c r="BC62" s="1">
        <v>5.19531853633E-2</v>
      </c>
      <c r="BD62" s="9">
        <v>0.63600000000000001</v>
      </c>
      <c r="BE62" s="9">
        <v>0.30299999999999999</v>
      </c>
      <c r="BF62" s="10">
        <v>6.0999999999999999E-2</v>
      </c>
      <c r="BG62" s="11">
        <v>-32.524718782599997</v>
      </c>
      <c r="BH62" s="15">
        <v>349</v>
      </c>
      <c r="BI62" s="20">
        <v>1.0307189542483659</v>
      </c>
      <c r="BJ62" s="15">
        <v>359.72091503267973</v>
      </c>
      <c r="BK62" s="13">
        <f t="shared" si="13"/>
        <v>482438248.66693306</v>
      </c>
      <c r="BL62" s="13">
        <f t="shared" si="10"/>
        <v>1419860488.993067</v>
      </c>
      <c r="BM62" s="14">
        <v>25.360803701125086</v>
      </c>
      <c r="BN62" s="14">
        <v>74.639196298874921</v>
      </c>
      <c r="BO62" s="16">
        <v>0.32728435666127248</v>
      </c>
      <c r="BP62" s="16">
        <v>0.13728474113012873</v>
      </c>
      <c r="BQ62" s="16">
        <v>2.3780781818181818</v>
      </c>
      <c r="BR62" s="16">
        <v>0.2925974545454546</v>
      </c>
      <c r="BS62" s="16">
        <v>6.586363636363636E-2</v>
      </c>
      <c r="BT62" s="16">
        <v>52.265454545454539</v>
      </c>
      <c r="BU62" s="16">
        <v>20.605454545454545</v>
      </c>
      <c r="BV62" s="16">
        <v>6.5863636363636351</v>
      </c>
      <c r="BW62" s="16">
        <f>BT62*3.53</f>
        <v>184.49705454545452</v>
      </c>
      <c r="BX62" s="16">
        <f>BU62*0.54</f>
        <v>11.126945454545455</v>
      </c>
      <c r="BY62" s="16">
        <f>BV62*1.02</f>
        <v>6.7180909090909076</v>
      </c>
      <c r="BZ62" s="16">
        <v>2.4420000000000001E-2</v>
      </c>
      <c r="CA62" s="16">
        <f>(BT62*BZ62)*(44/28)*265</f>
        <v>531.49711371428566</v>
      </c>
      <c r="CB62" s="9">
        <f>(74.1+69.3+63.1)/3*BO62</f>
        <v>22.52807321685092</v>
      </c>
      <c r="CC62" s="16">
        <f>(0.00415+0.08+0.005)/3*BO62*28</f>
        <v>0.27232240369928951</v>
      </c>
      <c r="CD62" s="16">
        <f>(0.0286+0.002+0.0001)/3*BO62*265</f>
        <v>0.88754062787259413</v>
      </c>
      <c r="CE62" s="17">
        <f>CB62+CC62+CD62</f>
        <v>23.687936248422801</v>
      </c>
      <c r="CF62" s="9">
        <f>BP62*95</f>
        <v>13.042050407362229</v>
      </c>
      <c r="CG62" s="18">
        <v>2346642.7272727275</v>
      </c>
      <c r="CH62" s="9">
        <f t="shared" si="11"/>
        <v>7.5118576768894965</v>
      </c>
      <c r="CI62" s="9">
        <f t="shared" si="12"/>
        <v>1.8082505885756719</v>
      </c>
      <c r="CJ62" s="5">
        <v>46.186616669810547</v>
      </c>
      <c r="CK62" s="5">
        <v>2.3614310326845835</v>
      </c>
      <c r="CL62" s="5">
        <v>47.457382603507149</v>
      </c>
    </row>
    <row r="63" spans="1:90" x14ac:dyDescent="0.25">
      <c r="A63" s="2" t="s">
        <v>219</v>
      </c>
      <c r="B63" s="1" t="s">
        <v>61</v>
      </c>
      <c r="C63" s="1" t="s">
        <v>334</v>
      </c>
      <c r="D63" s="1" t="s">
        <v>334</v>
      </c>
      <c r="E63" s="1" t="s">
        <v>339</v>
      </c>
      <c r="F63" s="21">
        <v>5.3438914472299999</v>
      </c>
      <c r="G63" s="22">
        <v>5.11208293422E-4</v>
      </c>
      <c r="H63" s="22">
        <v>0</v>
      </c>
      <c r="I63" s="22">
        <v>866613043.40999997</v>
      </c>
      <c r="J63" s="22">
        <v>139540.562515</v>
      </c>
      <c r="K63" s="22">
        <f t="shared" si="15"/>
        <v>3.8296330120179606E-2</v>
      </c>
      <c r="L63" s="22">
        <f t="shared" si="16"/>
        <v>3.6635103385587064E-2</v>
      </c>
      <c r="M63" s="22">
        <f t="shared" si="17"/>
        <v>6.2104740570817381</v>
      </c>
      <c r="N63" s="21">
        <v>5.3438914472299999</v>
      </c>
      <c r="O63" s="21">
        <v>0</v>
      </c>
      <c r="P63" s="22">
        <v>5.11208293422E-4</v>
      </c>
      <c r="Q63" s="22">
        <v>0</v>
      </c>
      <c r="R63" s="23">
        <v>4.96350123717</v>
      </c>
      <c r="S63" s="23">
        <v>0.38039020181200001</v>
      </c>
      <c r="T63" s="23">
        <v>0</v>
      </c>
      <c r="U63" s="23">
        <v>0</v>
      </c>
      <c r="V63" s="23">
        <v>0</v>
      </c>
      <c r="W63" s="23">
        <v>0</v>
      </c>
      <c r="X63" s="22">
        <v>4.4148964781500004E-4</v>
      </c>
      <c r="Y63" s="22">
        <v>6.9718646535499995E-5</v>
      </c>
      <c r="Z63" s="22">
        <v>0</v>
      </c>
      <c r="AA63" s="22">
        <v>0</v>
      </c>
      <c r="AB63" s="22">
        <v>0</v>
      </c>
      <c r="AC63" s="22">
        <v>0</v>
      </c>
      <c r="AD63" s="21">
        <v>0</v>
      </c>
      <c r="AE63" s="21">
        <v>0</v>
      </c>
      <c r="AF63" s="21">
        <v>4.9635012424499996</v>
      </c>
      <c r="AG63" s="21">
        <v>0</v>
      </c>
      <c r="AH63" s="21">
        <v>0</v>
      </c>
      <c r="AI63" s="21">
        <v>0</v>
      </c>
      <c r="AJ63" s="21">
        <v>0</v>
      </c>
      <c r="AK63" s="21">
        <v>0</v>
      </c>
      <c r="AL63" s="21">
        <v>0.38039020079899999</v>
      </c>
      <c r="AM63" s="21">
        <v>0</v>
      </c>
      <c r="AN63" s="21">
        <v>0</v>
      </c>
      <c r="AO63" s="21">
        <v>0</v>
      </c>
      <c r="AP63" s="22">
        <v>0</v>
      </c>
      <c r="AQ63" s="22">
        <v>0</v>
      </c>
      <c r="AR63" s="22">
        <v>6.9718646352500004E-5</v>
      </c>
      <c r="AS63" s="22">
        <v>0</v>
      </c>
      <c r="AT63" s="22">
        <v>0</v>
      </c>
      <c r="AU63" s="22">
        <v>4.4148964702100002E-4</v>
      </c>
      <c r="AV63" s="22">
        <v>0</v>
      </c>
      <c r="AW63" s="22">
        <v>0</v>
      </c>
      <c r="AX63" s="22">
        <v>0</v>
      </c>
      <c r="AY63" s="22">
        <v>0</v>
      </c>
      <c r="AZ63" s="22">
        <v>0</v>
      </c>
      <c r="BA63" s="22">
        <v>0</v>
      </c>
      <c r="BB63" s="7">
        <v>0.147284284234</v>
      </c>
      <c r="BC63" s="1">
        <v>2.9047732688500002E-6</v>
      </c>
      <c r="BD63" s="9">
        <v>1</v>
      </c>
      <c r="BE63" s="9">
        <v>0</v>
      </c>
      <c r="BF63" s="10">
        <v>0</v>
      </c>
      <c r="BG63" s="11">
        <v>-5.7575984300299998</v>
      </c>
      <c r="BH63" s="12">
        <v>659.81490910000002</v>
      </c>
      <c r="BI63" s="20">
        <v>1</v>
      </c>
      <c r="BJ63" s="15">
        <v>659.81490910000002</v>
      </c>
      <c r="BK63" s="13">
        <f t="shared" si="13"/>
        <v>0</v>
      </c>
      <c r="BL63" s="13">
        <f t="shared" si="10"/>
        <v>866613043.40999997</v>
      </c>
      <c r="BM63" s="14">
        <v>0</v>
      </c>
      <c r="BN63" s="14">
        <v>100</v>
      </c>
      <c r="BO63" s="16">
        <v>0.91352713178294587</v>
      </c>
      <c r="BP63" s="16">
        <v>0.38319379844961238</v>
      </c>
      <c r="BQ63" s="16">
        <v>1.1096622727272729</v>
      </c>
      <c r="BR63" s="16">
        <v>7.059981818181818E-2</v>
      </c>
      <c r="BS63" s="16">
        <v>1.6599999999999997E-2</v>
      </c>
      <c r="BT63" s="16">
        <v>24.388181818181817</v>
      </c>
      <c r="BU63" s="16">
        <v>4.9718181818181826</v>
      </c>
      <c r="BV63" s="16">
        <v>1.6599999999999997</v>
      </c>
      <c r="BW63" s="16">
        <f>BT63*3.53</f>
        <v>86.090281818181808</v>
      </c>
      <c r="BX63" s="16">
        <f>BU63*0.54</f>
        <v>2.6847818181818188</v>
      </c>
      <c r="BY63" s="16">
        <f>BV63*1.02</f>
        <v>1.6931999999999998</v>
      </c>
      <c r="BZ63" s="16">
        <v>2.4420000000000001E-2</v>
      </c>
      <c r="CA63" s="16">
        <f>(BT63*BZ63)*(44/28)*265</f>
        <v>248.00795014285711</v>
      </c>
      <c r="CB63" s="9">
        <f>(74.1+69.3+63.1)/3*BO63</f>
        <v>62.881117571059434</v>
      </c>
      <c r="CC63" s="16">
        <f>(0.00415+0.08+0.005)/3*BO63*28</f>
        <v>0.7601154754521966</v>
      </c>
      <c r="CD63" s="16">
        <f>(0.0286+0.002+0.0001)/3*BO63*265</f>
        <v>2.4773333268733855</v>
      </c>
      <c r="CE63" s="17">
        <f>CB63+CC63+CD63</f>
        <v>66.118566373385022</v>
      </c>
      <c r="CF63" s="9">
        <f>BP63*95</f>
        <v>36.403410852713179</v>
      </c>
      <c r="CG63" s="18">
        <v>461636.36363636365</v>
      </c>
      <c r="CH63" s="9">
        <f t="shared" si="11"/>
        <v>1.1511285983052089</v>
      </c>
      <c r="CI63" s="9">
        <f t="shared" si="12"/>
        <v>0.20358080126590997</v>
      </c>
      <c r="CJ63" s="5">
        <v>0</v>
      </c>
      <c r="CK63" s="5">
        <v>0</v>
      </c>
      <c r="CL63" s="5">
        <v>0</v>
      </c>
    </row>
    <row r="64" spans="1:90" x14ac:dyDescent="0.25">
      <c r="A64" s="2" t="s">
        <v>220</v>
      </c>
      <c r="B64" s="1" t="s">
        <v>62</v>
      </c>
      <c r="C64" s="1" t="s">
        <v>332</v>
      </c>
      <c r="D64" s="1" t="s">
        <v>338</v>
      </c>
      <c r="E64" s="1" t="s">
        <v>339</v>
      </c>
      <c r="F64" s="21">
        <v>150.16580323700001</v>
      </c>
      <c r="G64" s="22">
        <v>1.4101648965E-2</v>
      </c>
      <c r="H64" s="22">
        <v>3.2636115625499999E-6</v>
      </c>
      <c r="I64" s="22">
        <v>1116275143.26</v>
      </c>
      <c r="J64" s="22">
        <v>81939.685204299996</v>
      </c>
      <c r="K64" s="22">
        <f t="shared" si="15"/>
        <v>1.8326382736593632</v>
      </c>
      <c r="L64" s="22">
        <f t="shared" si="16"/>
        <v>1.7209791482406109</v>
      </c>
      <c r="M64" s="22">
        <f t="shared" si="17"/>
        <v>13.623131947319473</v>
      </c>
      <c r="N64" s="21">
        <v>150.16580323700001</v>
      </c>
      <c r="O64" s="21">
        <v>0</v>
      </c>
      <c r="P64" s="22">
        <v>1.4101648965E-2</v>
      </c>
      <c r="Q64" s="22">
        <v>0</v>
      </c>
      <c r="R64" s="23">
        <v>79.383386923299994</v>
      </c>
      <c r="S64" s="23">
        <v>70.7824167088</v>
      </c>
      <c r="T64" s="23">
        <v>0</v>
      </c>
      <c r="U64" s="23">
        <v>0</v>
      </c>
      <c r="V64" s="23">
        <v>0</v>
      </c>
      <c r="W64" s="23">
        <v>0</v>
      </c>
      <c r="X64" s="22">
        <v>7.0609317214599997E-3</v>
      </c>
      <c r="Y64" s="22">
        <v>7.04071729385E-3</v>
      </c>
      <c r="Z64" s="22">
        <v>0</v>
      </c>
      <c r="AA64" s="22">
        <v>0</v>
      </c>
      <c r="AB64" s="22">
        <v>0</v>
      </c>
      <c r="AC64" s="22">
        <v>0</v>
      </c>
      <c r="AD64" s="21">
        <v>0</v>
      </c>
      <c r="AE64" s="21">
        <v>0</v>
      </c>
      <c r="AF64" s="21">
        <v>79.383387204000002</v>
      </c>
      <c r="AG64" s="21">
        <v>0</v>
      </c>
      <c r="AH64" s="21">
        <v>0</v>
      </c>
      <c r="AI64" s="21">
        <v>0</v>
      </c>
      <c r="AJ64" s="21">
        <v>0</v>
      </c>
      <c r="AK64" s="21">
        <v>0</v>
      </c>
      <c r="AL64" s="21">
        <v>70.782416606799998</v>
      </c>
      <c r="AM64" s="21">
        <v>0</v>
      </c>
      <c r="AN64" s="21">
        <v>0</v>
      </c>
      <c r="AO64" s="21">
        <v>0</v>
      </c>
      <c r="AP64" s="22">
        <v>0</v>
      </c>
      <c r="AQ64" s="22">
        <v>0</v>
      </c>
      <c r="AR64" s="22">
        <v>7.0407172793100006E-3</v>
      </c>
      <c r="AS64" s="22">
        <v>0</v>
      </c>
      <c r="AT64" s="22">
        <v>0</v>
      </c>
      <c r="AU64" s="22">
        <v>7.0609317559799994E-3</v>
      </c>
      <c r="AV64" s="22">
        <v>0</v>
      </c>
      <c r="AW64" s="22">
        <v>0</v>
      </c>
      <c r="AX64" s="22">
        <v>0</v>
      </c>
      <c r="AY64" s="22">
        <v>0</v>
      </c>
      <c r="AZ64" s="22">
        <v>0</v>
      </c>
      <c r="BA64" s="22">
        <v>0</v>
      </c>
      <c r="BB64" s="7">
        <v>571.10279305999995</v>
      </c>
      <c r="BC64" s="1">
        <v>1.1263416180199999E-2</v>
      </c>
      <c r="BD64" s="9">
        <v>1</v>
      </c>
      <c r="BE64" s="9">
        <v>0</v>
      </c>
      <c r="BF64" s="10">
        <v>0</v>
      </c>
      <c r="BG64" s="11">
        <v>-48.592906904800003</v>
      </c>
      <c r="BH64" s="15">
        <v>363.22222222222223</v>
      </c>
      <c r="BI64" s="20">
        <v>0.98587443946188336</v>
      </c>
      <c r="BJ64" s="15">
        <v>358.091504733433</v>
      </c>
      <c r="BK64" s="13">
        <f t="shared" si="13"/>
        <v>83874318.200091064</v>
      </c>
      <c r="BL64" s="13">
        <f t="shared" si="10"/>
        <v>1032400825.059909</v>
      </c>
      <c r="BM64" s="14">
        <v>7.5137674350736008</v>
      </c>
      <c r="BN64" s="14">
        <v>92.486232564926397</v>
      </c>
      <c r="BO64" s="16">
        <v>0.38836952734873997</v>
      </c>
      <c r="BP64" s="16">
        <v>0.16290790848914177</v>
      </c>
      <c r="BQ64" s="16">
        <v>1.9495509090909096</v>
      </c>
      <c r="BR64" s="16">
        <v>0.14154818181818182</v>
      </c>
      <c r="BS64" s="16">
        <v>7.9345454545454552E-2</v>
      </c>
      <c r="BT64" s="16">
        <v>42.847272727272724</v>
      </c>
      <c r="BU64" s="16">
        <v>9.9681818181818169</v>
      </c>
      <c r="BV64" s="16">
        <v>7.9345454545454546</v>
      </c>
      <c r="BW64" s="16">
        <f>BT64*3.53</f>
        <v>151.25087272727271</v>
      </c>
      <c r="BX64" s="16">
        <f>BU64*0.54</f>
        <v>5.3828181818181813</v>
      </c>
      <c r="BY64" s="16">
        <f>BV64*1.02</f>
        <v>8.0932363636363647</v>
      </c>
      <c r="BZ64" s="16">
        <v>2.4420000000000001E-2</v>
      </c>
      <c r="CA64" s="16">
        <f>(BT64*BZ64)*(44/28)*265</f>
        <v>435.72187371428572</v>
      </c>
      <c r="CB64" s="9">
        <f>(74.1+69.3+63.1)/3*BO64</f>
        <v>26.732769132504934</v>
      </c>
      <c r="CC64" s="16">
        <f>(0.00415+0.08+0.005)/3*BO64*28</f>
        <v>0.3231493380559749</v>
      </c>
      <c r="CD64" s="16">
        <f>(0.0286+0.002+0.0001)/3*BO64*265</f>
        <v>1.0531934299152246</v>
      </c>
      <c r="CE64" s="17">
        <f>CB64+CC64+CD64</f>
        <v>28.109111900476133</v>
      </c>
      <c r="CF64" s="9">
        <f>BP64*95</f>
        <v>15.476251306468468</v>
      </c>
      <c r="CG64" s="18">
        <v>1445181.8181818184</v>
      </c>
      <c r="CH64" s="9">
        <f t="shared" si="11"/>
        <v>3.9333831215096118</v>
      </c>
      <c r="CI64" s="9">
        <f t="shared" si="12"/>
        <v>0.93074646438103137</v>
      </c>
      <c r="CJ64" s="5">
        <v>53.506849652759328</v>
      </c>
      <c r="CK64" s="5">
        <v>0</v>
      </c>
      <c r="CL64" s="5">
        <v>53.506849652759328</v>
      </c>
    </row>
    <row r="65" spans="1:90" x14ac:dyDescent="0.25">
      <c r="A65" s="2" t="s">
        <v>221</v>
      </c>
      <c r="B65" s="1" t="s">
        <v>63</v>
      </c>
      <c r="C65" s="1" t="s">
        <v>324</v>
      </c>
      <c r="D65" s="1" t="s">
        <v>325</v>
      </c>
      <c r="E65" s="1" t="s">
        <v>326</v>
      </c>
      <c r="F65" s="21">
        <v>6.7942535376900004</v>
      </c>
      <c r="G65" s="22">
        <v>9.2134239217699998E-4</v>
      </c>
      <c r="H65" s="22">
        <v>2.2648834180999998E-7</v>
      </c>
      <c r="I65" s="22">
        <v>9027455.8869599998</v>
      </c>
      <c r="J65" s="22">
        <v>9489.6078583800008</v>
      </c>
      <c r="K65" s="22">
        <f t="shared" si="15"/>
        <v>0.71596778698186025</v>
      </c>
      <c r="L65" s="22">
        <f t="shared" si="16"/>
        <v>0.97089616971199599</v>
      </c>
      <c r="M65" s="22">
        <f t="shared" si="17"/>
        <v>0.95129914973126228</v>
      </c>
      <c r="N65" s="21">
        <v>4.1333659009100003</v>
      </c>
      <c r="O65" s="21">
        <v>2.6608876325700002</v>
      </c>
      <c r="P65" s="22">
        <v>5.6399144489599994E-4</v>
      </c>
      <c r="Q65" s="22">
        <v>3.5735095305900003E-4</v>
      </c>
      <c r="R65" s="23">
        <v>1.2816556058799999</v>
      </c>
      <c r="S65" s="23">
        <v>2.8517102079700001</v>
      </c>
      <c r="T65" s="23">
        <v>0</v>
      </c>
      <c r="U65" s="23">
        <v>0.90820047983899999</v>
      </c>
      <c r="V65" s="23">
        <v>1.75268714642</v>
      </c>
      <c r="W65" s="23">
        <v>0</v>
      </c>
      <c r="X65" s="22">
        <v>1.1399970635600001E-4</v>
      </c>
      <c r="Y65" s="22">
        <v>4.4999174233500001E-4</v>
      </c>
      <c r="Z65" s="22">
        <v>0</v>
      </c>
      <c r="AA65" s="22">
        <v>8.0781911320600009E-5</v>
      </c>
      <c r="AB65" s="22">
        <v>2.76569038738E-4</v>
      </c>
      <c r="AC65" s="22">
        <v>0</v>
      </c>
      <c r="AD65" s="21">
        <v>3.4570644041900002E-2</v>
      </c>
      <c r="AE65" s="21">
        <v>0.75408623598500002</v>
      </c>
      <c r="AF65" s="21">
        <v>0.49299871255</v>
      </c>
      <c r="AG65" s="21">
        <v>2.7921299633199999E-2</v>
      </c>
      <c r="AH65" s="21">
        <v>0.88027918625200008</v>
      </c>
      <c r="AI65" s="21">
        <v>0</v>
      </c>
      <c r="AJ65" s="21">
        <v>7.5772752239900001E-2</v>
      </c>
      <c r="AK65" s="21">
        <v>1.6982712707499998</v>
      </c>
      <c r="AL65" s="21">
        <v>1.0776661964799998</v>
      </c>
      <c r="AM65" s="21">
        <v>5.3883810960900003E-2</v>
      </c>
      <c r="AN65" s="21">
        <v>1.6988033354600001</v>
      </c>
      <c r="AO65" s="21">
        <v>0</v>
      </c>
      <c r="AP65" s="22">
        <v>1.19567244904E-5</v>
      </c>
      <c r="AQ65" s="22">
        <v>2.6798236645899997E-4</v>
      </c>
      <c r="AR65" s="22">
        <v>1.7005265501300002E-4</v>
      </c>
      <c r="AS65" s="22">
        <v>3.0749627711100003E-6</v>
      </c>
      <c r="AT65" s="22">
        <v>6.7073876807100002E-5</v>
      </c>
      <c r="AU65" s="22">
        <v>4.3850866523999996E-5</v>
      </c>
      <c r="AV65" s="22">
        <v>2.4835220526E-6</v>
      </c>
      <c r="AW65" s="22">
        <v>7.8298389355499991E-5</v>
      </c>
      <c r="AX65" s="22">
        <v>0</v>
      </c>
      <c r="AY65" s="22">
        <v>8.5027118154800001E-6</v>
      </c>
      <c r="AZ65" s="22">
        <v>2.6806632597600001E-4</v>
      </c>
      <c r="BA65" s="22">
        <v>0</v>
      </c>
      <c r="BB65" s="7">
        <v>2124.5960314399999</v>
      </c>
      <c r="BC65" s="1">
        <v>3.3639437235399999E-2</v>
      </c>
      <c r="BD65" s="9">
        <v>0.50600000000000001</v>
      </c>
      <c r="BE65" s="9">
        <v>0.46200000000000002</v>
      </c>
      <c r="BF65" s="10">
        <v>3.2000000000000001E-2</v>
      </c>
      <c r="BG65" s="11">
        <v>-19.076183319199998</v>
      </c>
      <c r="BH65" s="15">
        <v>407.55555555555554</v>
      </c>
      <c r="BI65" s="20">
        <v>1.393846153846154</v>
      </c>
      <c r="BJ65" s="15">
        <v>568.06974358974367</v>
      </c>
      <c r="BK65" s="13">
        <f t="shared" si="13"/>
        <v>3293153.776243167</v>
      </c>
      <c r="BL65" s="13">
        <f t="shared" si="10"/>
        <v>5734302.1107168328</v>
      </c>
      <c r="BM65" s="14">
        <v>36.479311751609544</v>
      </c>
      <c r="BN65" s="14">
        <v>63.520688248390456</v>
      </c>
      <c r="BO65" s="16">
        <v>0.55303952761323527</v>
      </c>
      <c r="BP65" s="16">
        <v>0.23198141566445285</v>
      </c>
      <c r="BQ65" s="16">
        <v>7.1123531818181815</v>
      </c>
      <c r="BR65" s="16">
        <v>0.97490745454545435</v>
      </c>
      <c r="BS65" s="16">
        <v>0.56933636363636364</v>
      </c>
      <c r="BT65" s="16">
        <v>156.31545454545454</v>
      </c>
      <c r="BU65" s="16">
        <v>68.655454545454546</v>
      </c>
      <c r="BV65" s="16">
        <v>56.93363636363636</v>
      </c>
      <c r="BW65" s="16">
        <f>BT65*5.66</f>
        <v>884.74547272727273</v>
      </c>
      <c r="BX65" s="16">
        <f>BU65*1.36</f>
        <v>93.371418181818186</v>
      </c>
      <c r="BY65" s="16">
        <f>BV65*1.36</f>
        <v>77.429745454545454</v>
      </c>
      <c r="BZ65" s="16">
        <v>7.1999999999999998E-3</v>
      </c>
      <c r="CA65" s="16">
        <f>(BT65*BZ65)*(44/28)*265</f>
        <v>468.67839428571426</v>
      </c>
      <c r="CB65" s="9">
        <f>(74.1+69.3+63.1)/3*BO65</f>
        <v>38.067554150711025</v>
      </c>
      <c r="CC65" s="16">
        <f>(0.00415+0.08+0.005)/3*BO65*28</f>
        <v>0.46016575627605261</v>
      </c>
      <c r="CD65" s="16">
        <f>(0.0286+0.002+0.0001)/3*BO65*265</f>
        <v>1.499751025632492</v>
      </c>
      <c r="CE65" s="17">
        <f>CB65+CC65+CD65</f>
        <v>40.027470932619572</v>
      </c>
      <c r="CF65" s="9">
        <f>BP65*95</f>
        <v>22.03823448812302</v>
      </c>
      <c r="CG65" s="18">
        <v>940036.36363636365</v>
      </c>
      <c r="CH65" s="9">
        <f t="shared" si="11"/>
        <v>8.8754641982426001</v>
      </c>
      <c r="CI65" s="9">
        <f t="shared" si="12"/>
        <v>1.491170975205381</v>
      </c>
      <c r="CJ65" s="5">
        <v>43.719544169252764</v>
      </c>
      <c r="CK65" s="5">
        <v>32.371223505320948</v>
      </c>
      <c r="CL65" s="5">
        <v>61.938216316037384</v>
      </c>
    </row>
    <row r="66" spans="1:90" x14ac:dyDescent="0.25">
      <c r="A66" s="2" t="s">
        <v>222</v>
      </c>
      <c r="B66" s="1" t="s">
        <v>64</v>
      </c>
      <c r="C66" s="1" t="s">
        <v>332</v>
      </c>
      <c r="D66" s="1" t="s">
        <v>333</v>
      </c>
      <c r="E66" s="1" t="s">
        <v>339</v>
      </c>
      <c r="F66" s="21">
        <v>411.37667726699999</v>
      </c>
      <c r="G66" s="22">
        <v>3.8189871123300002E-2</v>
      </c>
      <c r="H66" s="22">
        <v>0</v>
      </c>
      <c r="I66" s="22">
        <v>966441954.17200005</v>
      </c>
      <c r="J66" s="22">
        <v>91469.0335318</v>
      </c>
      <c r="K66" s="22">
        <f t="shared" ref="K66:K97" si="27">F66/J66*1000</f>
        <v>4.4974420454981781</v>
      </c>
      <c r="L66" s="22">
        <f t="shared" ref="L66:L97" si="28">G66/J66*10000000</f>
        <v>4.1751694151248424</v>
      </c>
      <c r="M66" s="22">
        <f t="shared" ref="M66:M97" si="29">(I66/J66)/1000</f>
        <v>10.565782941567958</v>
      </c>
      <c r="N66" s="21">
        <v>411.37667726699999</v>
      </c>
      <c r="O66" s="21">
        <v>0</v>
      </c>
      <c r="P66" s="22">
        <v>3.8189871123300002E-2</v>
      </c>
      <c r="Q66" s="22">
        <v>0</v>
      </c>
      <c r="R66" s="23">
        <v>344.53521609699999</v>
      </c>
      <c r="S66" s="23">
        <v>66.841461148299999</v>
      </c>
      <c r="T66" s="23">
        <v>0</v>
      </c>
      <c r="U66" s="23">
        <v>0</v>
      </c>
      <c r="V66" s="23">
        <v>0</v>
      </c>
      <c r="W66" s="23">
        <v>0</v>
      </c>
      <c r="X66" s="22">
        <v>3.0645450692599999E-2</v>
      </c>
      <c r="Y66" s="22">
        <v>7.5444204866299998E-3</v>
      </c>
      <c r="Z66" s="22">
        <v>0</v>
      </c>
      <c r="AA66" s="22">
        <v>0</v>
      </c>
      <c r="AB66" s="22">
        <v>0</v>
      </c>
      <c r="AC66" s="22">
        <v>0</v>
      </c>
      <c r="AD66" s="21">
        <v>0</v>
      </c>
      <c r="AE66" s="21">
        <v>0</v>
      </c>
      <c r="AF66" s="21">
        <v>344.53521632999997</v>
      </c>
      <c r="AG66" s="21">
        <v>0</v>
      </c>
      <c r="AH66" s="21">
        <v>0</v>
      </c>
      <c r="AI66" s="21">
        <v>0</v>
      </c>
      <c r="AJ66" s="21">
        <v>0</v>
      </c>
      <c r="AK66" s="21">
        <v>0</v>
      </c>
      <c r="AL66" s="21">
        <v>66.841461064900002</v>
      </c>
      <c r="AM66" s="21">
        <v>0</v>
      </c>
      <c r="AN66" s="21">
        <v>0</v>
      </c>
      <c r="AO66" s="21">
        <v>0</v>
      </c>
      <c r="AP66" s="22">
        <v>0</v>
      </c>
      <c r="AQ66" s="22">
        <v>0</v>
      </c>
      <c r="AR66" s="22">
        <v>7.5444204553100002E-3</v>
      </c>
      <c r="AS66" s="22">
        <v>0</v>
      </c>
      <c r="AT66" s="22">
        <v>0</v>
      </c>
      <c r="AU66" s="22">
        <v>3.0645450754900001E-2</v>
      </c>
      <c r="AV66" s="22">
        <v>0</v>
      </c>
      <c r="AW66" s="22">
        <v>0</v>
      </c>
      <c r="AX66" s="22">
        <v>0</v>
      </c>
      <c r="AY66" s="22">
        <v>0</v>
      </c>
      <c r="AZ66" s="22">
        <v>0</v>
      </c>
      <c r="BA66" s="22">
        <v>0</v>
      </c>
      <c r="BB66" s="7">
        <v>599.78713212900004</v>
      </c>
      <c r="BC66" s="1">
        <v>1.1829134961800001E-2</v>
      </c>
      <c r="BD66" s="9">
        <v>1</v>
      </c>
      <c r="BE66" s="9">
        <v>0</v>
      </c>
      <c r="BF66" s="10">
        <v>0</v>
      </c>
      <c r="BG66" s="11">
        <v>-44.623335233600002</v>
      </c>
      <c r="BH66" s="15">
        <v>406.33333333333331</v>
      </c>
      <c r="BI66" s="20">
        <v>1</v>
      </c>
      <c r="BJ66" s="15">
        <v>406.33333333333331</v>
      </c>
      <c r="BK66" s="13">
        <f t="shared" si="13"/>
        <v>152738263.53682262</v>
      </c>
      <c r="BL66" s="13">
        <f t="shared" si="10"/>
        <v>813703690.63517749</v>
      </c>
      <c r="BM66" s="14">
        <v>15.804183880622322</v>
      </c>
      <c r="BN66" s="14">
        <v>84.195816119377682</v>
      </c>
      <c r="BO66" s="16" t="s">
        <v>390</v>
      </c>
      <c r="BP66" s="16" t="s">
        <v>390</v>
      </c>
      <c r="BQ66" s="16" t="s">
        <v>390</v>
      </c>
      <c r="BR66" s="16" t="s">
        <v>390</v>
      </c>
      <c r="BS66" s="16" t="s">
        <v>390</v>
      </c>
      <c r="BT66" s="16" t="s">
        <v>390</v>
      </c>
      <c r="BU66" s="16" t="s">
        <v>390</v>
      </c>
      <c r="BV66" s="16" t="s">
        <v>390</v>
      </c>
      <c r="BW66" s="16" t="s">
        <v>390</v>
      </c>
      <c r="BX66" s="16" t="s">
        <v>390</v>
      </c>
      <c r="BY66" s="16" t="s">
        <v>390</v>
      </c>
      <c r="BZ66" s="16" t="s">
        <v>390</v>
      </c>
      <c r="CA66" s="16" t="s">
        <v>390</v>
      </c>
      <c r="CB66" s="16" t="s">
        <v>390</v>
      </c>
      <c r="CC66" s="16" t="s">
        <v>390</v>
      </c>
      <c r="CD66" s="16" t="s">
        <v>390</v>
      </c>
      <c r="CE66" s="16" t="s">
        <v>390</v>
      </c>
      <c r="CF66" s="16" t="s">
        <v>390</v>
      </c>
      <c r="CG66" s="18">
        <v>1234211.8181818181</v>
      </c>
      <c r="CH66" s="9" t="s">
        <v>447</v>
      </c>
      <c r="CI66" s="9" t="s">
        <v>447</v>
      </c>
      <c r="CJ66" s="5">
        <v>54.3988248434393</v>
      </c>
      <c r="CK66" s="5">
        <v>3.9264526567832601</v>
      </c>
      <c r="CL66" s="5">
        <v>56.189333396898469</v>
      </c>
    </row>
    <row r="67" spans="1:90" x14ac:dyDescent="0.25">
      <c r="A67" s="2" t="s">
        <v>223</v>
      </c>
      <c r="B67" s="1" t="s">
        <v>65</v>
      </c>
      <c r="C67" s="1" t="s">
        <v>324</v>
      </c>
      <c r="D67" s="1" t="s">
        <v>343</v>
      </c>
      <c r="E67" s="1" t="s">
        <v>344</v>
      </c>
      <c r="F67" s="21">
        <v>85.9209655688</v>
      </c>
      <c r="G67" s="22">
        <v>8.6859020826600009E-3</v>
      </c>
      <c r="H67" s="22">
        <v>7.2088112169899993E-7</v>
      </c>
      <c r="I67" s="22">
        <v>75115868.201199993</v>
      </c>
      <c r="J67" s="22">
        <v>293620.433135</v>
      </c>
      <c r="K67" s="22">
        <f t="shared" si="27"/>
        <v>0.29262597514559041</v>
      </c>
      <c r="L67" s="22">
        <f t="shared" si="28"/>
        <v>0.29582076389984824</v>
      </c>
      <c r="M67" s="22">
        <f t="shared" si="29"/>
        <v>0.25582643346440209</v>
      </c>
      <c r="N67" s="21">
        <v>24.1091838569</v>
      </c>
      <c r="O67" s="21">
        <v>61.811781731300002</v>
      </c>
      <c r="P67" s="22">
        <v>2.4517108086399998E-3</v>
      </c>
      <c r="Q67" s="22">
        <v>6.2341912558699997E-3</v>
      </c>
      <c r="R67" s="23">
        <v>14.815243969200001</v>
      </c>
      <c r="S67" s="23">
        <v>9.2939399198500006</v>
      </c>
      <c r="T67" s="23">
        <v>0</v>
      </c>
      <c r="U67" s="23">
        <v>39.543624304799998</v>
      </c>
      <c r="V67" s="23">
        <v>22.268157457299999</v>
      </c>
      <c r="W67" s="23">
        <v>0</v>
      </c>
      <c r="X67" s="22">
        <v>1.3177747911399999E-3</v>
      </c>
      <c r="Y67" s="22">
        <v>1.1339360089700002E-3</v>
      </c>
      <c r="Z67" s="22">
        <v>0</v>
      </c>
      <c r="AA67" s="22">
        <v>3.5172955325799998E-3</v>
      </c>
      <c r="AB67" s="22">
        <v>2.7168957134200001E-3</v>
      </c>
      <c r="AC67" s="22">
        <v>0</v>
      </c>
      <c r="AD67" s="21">
        <v>0.24645913158499999</v>
      </c>
      <c r="AE67" s="21">
        <v>13.6078848357</v>
      </c>
      <c r="AF67" s="21">
        <v>0.96089996606000005</v>
      </c>
      <c r="AG67" s="21">
        <v>0.59664167161699999</v>
      </c>
      <c r="AH67" s="21">
        <v>38.946982734899997</v>
      </c>
      <c r="AI67" s="21">
        <v>0</v>
      </c>
      <c r="AJ67" s="21">
        <v>0.15633163430800001</v>
      </c>
      <c r="AK67" s="21">
        <v>8.5236214075399985</v>
      </c>
      <c r="AL67" s="21">
        <v>0.613986906946</v>
      </c>
      <c r="AM67" s="21">
        <v>0.33598616428099998</v>
      </c>
      <c r="AN67" s="21">
        <v>21.932171278200002</v>
      </c>
      <c r="AO67" s="21">
        <v>0</v>
      </c>
      <c r="AP67" s="22">
        <v>1.90737266037E-5</v>
      </c>
      <c r="AQ67" s="22">
        <v>1.0399509037999999E-3</v>
      </c>
      <c r="AR67" s="22">
        <v>7.491137950480001E-5</v>
      </c>
      <c r="AS67" s="22">
        <v>2.1921855200100002E-5</v>
      </c>
      <c r="AT67" s="22">
        <v>1.2103835540599999E-3</v>
      </c>
      <c r="AU67" s="22">
        <v>8.5469382684100003E-5</v>
      </c>
      <c r="AV67" s="22">
        <v>5.3069619358000003E-5</v>
      </c>
      <c r="AW67" s="22">
        <v>3.4642259189400001E-3</v>
      </c>
      <c r="AX67" s="22">
        <v>0</v>
      </c>
      <c r="AY67" s="22">
        <v>4.0993035606499999E-5</v>
      </c>
      <c r="AZ67" s="22">
        <v>2.6759026845999999E-3</v>
      </c>
      <c r="BA67" s="22">
        <v>0</v>
      </c>
      <c r="BB67" s="7">
        <v>3345.3497752200001</v>
      </c>
      <c r="BC67" s="1">
        <v>5.2968038082599998E-2</v>
      </c>
      <c r="BD67" s="9">
        <v>0.13400000000000001</v>
      </c>
      <c r="BE67" s="9">
        <v>0.83699999999999997</v>
      </c>
      <c r="BF67" s="10">
        <v>2.8000000000000001E-2</v>
      </c>
      <c r="BG67" s="11">
        <v>-4.8219663805200002</v>
      </c>
      <c r="BH67" s="15">
        <v>390.33333333333331</v>
      </c>
      <c r="BI67" s="20">
        <v>1.1252669039145906</v>
      </c>
      <c r="BJ67" s="15">
        <v>439.22918149466187</v>
      </c>
      <c r="BK67" s="13">
        <f t="shared" si="13"/>
        <v>16369646.56697165</v>
      </c>
      <c r="BL67" s="13">
        <f t="shared" ref="BL67:BL130" si="30">I67*BN67*0.01</f>
        <v>58746221.634228349</v>
      </c>
      <c r="BM67" s="14">
        <v>21.792527942464947</v>
      </c>
      <c r="BN67" s="14">
        <v>78.207472057535057</v>
      </c>
      <c r="BO67" s="16">
        <v>4.1099350861435449</v>
      </c>
      <c r="BP67" s="16">
        <v>1.7239790502630381</v>
      </c>
      <c r="BQ67" s="16">
        <v>2.8332850000000005</v>
      </c>
      <c r="BR67" s="16">
        <v>0.18292181818181819</v>
      </c>
      <c r="BS67" s="16">
        <v>0.14735454545454543</v>
      </c>
      <c r="BT67" s="16">
        <v>62.27</v>
      </c>
      <c r="BU67" s="16">
        <v>12.881818181818181</v>
      </c>
      <c r="BV67" s="16">
        <v>14.735454545454543</v>
      </c>
      <c r="BW67" s="16">
        <f>BT67*6.87</f>
        <v>427.79490000000004</v>
      </c>
      <c r="BX67" s="16">
        <f>BU67*1.57</f>
        <v>20.224454545454545</v>
      </c>
      <c r="BY67" s="16">
        <f>BV67*0.61</f>
        <v>8.9886272727272711</v>
      </c>
      <c r="BZ67" s="16">
        <v>7.1999999999999998E-3</v>
      </c>
      <c r="CA67" s="16">
        <f t="shared" ref="CA67:CA83" si="31">(BT67*BZ67)*(44/28)*265</f>
        <v>186.70325142857143</v>
      </c>
      <c r="CB67" s="9">
        <f t="shared" ref="CB67:CB83" si="32">(74.1+69.3+63.1)/3*BO67</f>
        <v>282.90053176288063</v>
      </c>
      <c r="CC67" s="16">
        <f t="shared" ref="CC67:CC83" si="33">(0.00415+0.08+0.005)/3*BO67*28</f>
        <v>3.4197399873438394</v>
      </c>
      <c r="CD67" s="16">
        <f t="shared" ref="CD67:CD83" si="34">(0.0286+0.002+0.0001)/3*BO67*265</f>
        <v>11.14545896444027</v>
      </c>
      <c r="CE67" s="17">
        <f t="shared" ref="CE67:CE83" si="35">CB67+CC67+CD67</f>
        <v>297.46573071466474</v>
      </c>
      <c r="CF67" s="9">
        <f t="shared" ref="CF67:CF83" si="36">BP67*95</f>
        <v>163.77800977498862</v>
      </c>
      <c r="CG67" s="18">
        <v>4775363.6363636358</v>
      </c>
      <c r="CH67" s="9">
        <f t="shared" ref="CH67:CH130" si="37">(BO67+BP67+BQ67+BR67+BS67)*CG67/1000000</f>
        <v>42.966217321977808</v>
      </c>
      <c r="CI67" s="9">
        <f t="shared" ref="CI67:CI130" si="38">(BW67+BX67+BY67+CA67+CE67+CF67)*CG67/1000000000</f>
        <v>5.2765618013999731</v>
      </c>
      <c r="CJ67" s="5">
        <v>52.106236558908449</v>
      </c>
      <c r="CK67" s="5">
        <v>11.822191818761759</v>
      </c>
      <c r="CL67" s="5">
        <v>57.768329142138285</v>
      </c>
    </row>
    <row r="68" spans="1:90" x14ac:dyDescent="0.25">
      <c r="A68" s="2" t="s">
        <v>224</v>
      </c>
      <c r="B68" s="1" t="s">
        <v>66</v>
      </c>
      <c r="C68" s="1" t="s">
        <v>321</v>
      </c>
      <c r="D68" s="1" t="s">
        <v>342</v>
      </c>
      <c r="E68" s="1" t="s">
        <v>337</v>
      </c>
      <c r="F68" s="21">
        <v>981.80036550800003</v>
      </c>
      <c r="G68" s="22">
        <v>0.120442108008</v>
      </c>
      <c r="H68" s="22">
        <v>5.9865613056500005E-6</v>
      </c>
      <c r="I68" s="22">
        <v>70694169111.699997</v>
      </c>
      <c r="J68" s="22">
        <v>6489000.2926200004</v>
      </c>
      <c r="K68" s="22">
        <f t="shared" si="27"/>
        <v>0.15130225323377017</v>
      </c>
      <c r="L68" s="22">
        <f t="shared" si="28"/>
        <v>0.18560965106594293</v>
      </c>
      <c r="M68" s="22">
        <f t="shared" si="29"/>
        <v>10.894462309101931</v>
      </c>
      <c r="N68" s="21">
        <v>981.80036550800003</v>
      </c>
      <c r="O68" s="21">
        <v>0</v>
      </c>
      <c r="P68" s="22">
        <v>0.120442108008</v>
      </c>
      <c r="Q68" s="22">
        <v>0</v>
      </c>
      <c r="R68" s="23">
        <v>685.43267738199995</v>
      </c>
      <c r="S68" s="23">
        <v>296.36769078399999</v>
      </c>
      <c r="T68" s="23">
        <v>0</v>
      </c>
      <c r="U68" s="23">
        <v>0</v>
      </c>
      <c r="V68" s="23">
        <v>0</v>
      </c>
      <c r="W68" s="23">
        <v>0</v>
      </c>
      <c r="X68" s="22">
        <v>6.0967332599000001E-2</v>
      </c>
      <c r="Y68" s="22">
        <v>5.9474775458299996E-2</v>
      </c>
      <c r="Z68" s="22">
        <v>0</v>
      </c>
      <c r="AA68" s="22">
        <v>0</v>
      </c>
      <c r="AB68" s="22">
        <v>0</v>
      </c>
      <c r="AC68" s="22">
        <v>0</v>
      </c>
      <c r="AD68" s="21">
        <v>0</v>
      </c>
      <c r="AE68" s="21">
        <v>0</v>
      </c>
      <c r="AF68" s="21">
        <v>685.43267752899999</v>
      </c>
      <c r="AG68" s="21">
        <v>0</v>
      </c>
      <c r="AH68" s="21">
        <v>0</v>
      </c>
      <c r="AI68" s="21">
        <v>0</v>
      </c>
      <c r="AJ68" s="21">
        <v>0</v>
      </c>
      <c r="AK68" s="21">
        <v>0</v>
      </c>
      <c r="AL68" s="21">
        <v>296.36769074599999</v>
      </c>
      <c r="AM68" s="21">
        <v>0</v>
      </c>
      <c r="AN68" s="21">
        <v>0</v>
      </c>
      <c r="AO68" s="21">
        <v>0</v>
      </c>
      <c r="AP68" s="22">
        <v>0</v>
      </c>
      <c r="AQ68" s="22">
        <v>0</v>
      </c>
      <c r="AR68" s="22">
        <v>5.94747754549E-2</v>
      </c>
      <c r="AS68" s="22">
        <v>0</v>
      </c>
      <c r="AT68" s="22">
        <v>0</v>
      </c>
      <c r="AU68" s="22">
        <v>6.0967332606999998E-2</v>
      </c>
      <c r="AV68" s="22">
        <v>0</v>
      </c>
      <c r="AW68" s="22">
        <v>0</v>
      </c>
      <c r="AX68" s="22">
        <v>0</v>
      </c>
      <c r="AY68" s="22">
        <v>0</v>
      </c>
      <c r="AZ68" s="22">
        <v>0</v>
      </c>
      <c r="BA68" s="22">
        <v>0</v>
      </c>
      <c r="BB68" s="7">
        <v>192.86336706899999</v>
      </c>
      <c r="BC68" s="1">
        <v>1.0768204670800001E-2</v>
      </c>
      <c r="BD68" s="9">
        <v>1</v>
      </c>
      <c r="BE68" s="9">
        <v>0</v>
      </c>
      <c r="BF68" s="10">
        <v>0</v>
      </c>
      <c r="BG68" s="11">
        <v>-19.793898120000001</v>
      </c>
      <c r="BH68" s="15">
        <v>722.44444444444446</v>
      </c>
      <c r="BI68" s="20">
        <v>1</v>
      </c>
      <c r="BJ68" s="15">
        <v>722.44444444444446</v>
      </c>
      <c r="BK68" s="13">
        <f t="shared" si="13"/>
        <v>710537377.50413823</v>
      </c>
      <c r="BL68" s="13">
        <f t="shared" si="30"/>
        <v>69983631734.195862</v>
      </c>
      <c r="BM68" s="14">
        <v>1.0050862559562117</v>
      </c>
      <c r="BN68" s="14">
        <v>98.994913744043785</v>
      </c>
      <c r="BO68" s="16">
        <v>0.99537469890381669</v>
      </c>
      <c r="BP68" s="16">
        <v>0.36533532904821403</v>
      </c>
      <c r="BQ68" s="16">
        <v>2.6411095454545457</v>
      </c>
      <c r="BR68" s="16">
        <v>0.12755472727272726</v>
      </c>
      <c r="BS68" s="16">
        <v>0.15489090909090908</v>
      </c>
      <c r="BT68" s="16">
        <v>58.046363636363637</v>
      </c>
      <c r="BU68" s="16">
        <v>8.9827272727272724</v>
      </c>
      <c r="BV68" s="16">
        <v>15.489090909090914</v>
      </c>
      <c r="BW68" s="16">
        <f>BT68*4</f>
        <v>232.18545454545455</v>
      </c>
      <c r="BX68" s="16">
        <f>BU68*1.29</f>
        <v>11.587718181818182</v>
      </c>
      <c r="BY68" s="16">
        <f>BV68*1.47</f>
        <v>22.768963636363644</v>
      </c>
      <c r="BZ68" s="16">
        <v>6.4999999999999997E-3</v>
      </c>
      <c r="CA68" s="16">
        <f t="shared" si="31"/>
        <v>157.11906785714285</v>
      </c>
      <c r="CB68" s="9">
        <f t="shared" si="32"/>
        <v>68.514958441212713</v>
      </c>
      <c r="CC68" s="16">
        <f t="shared" si="33"/>
        <v>0.82821810780123584</v>
      </c>
      <c r="CD68" s="16">
        <f t="shared" si="34"/>
        <v>2.6992902876440001</v>
      </c>
      <c r="CE68" s="17">
        <f t="shared" si="35"/>
        <v>72.042466836657951</v>
      </c>
      <c r="CF68" s="9">
        <f t="shared" si="36"/>
        <v>34.706856259580334</v>
      </c>
      <c r="CG68" s="18">
        <v>40690818.181818187</v>
      </c>
      <c r="CH68" s="9">
        <f t="shared" si="37"/>
        <v>174.33025669344889</v>
      </c>
      <c r="CI68" s="9">
        <f t="shared" si="38"/>
        <v>21.582838328779072</v>
      </c>
      <c r="CJ68" s="5">
        <v>51.377271001288619</v>
      </c>
      <c r="CK68" s="5">
        <v>0</v>
      </c>
      <c r="CL68" s="5">
        <v>51.377271001288619</v>
      </c>
    </row>
    <row r="69" spans="1:90" x14ac:dyDescent="0.25">
      <c r="A69" s="2" t="s">
        <v>225</v>
      </c>
      <c r="B69" s="1" t="s">
        <v>67</v>
      </c>
      <c r="C69" s="1" t="s">
        <v>321</v>
      </c>
      <c r="D69" s="1" t="s">
        <v>322</v>
      </c>
      <c r="E69" s="1" t="s">
        <v>323</v>
      </c>
      <c r="F69" s="21">
        <v>535442.00288599997</v>
      </c>
      <c r="G69" s="22">
        <v>70.4311144224</v>
      </c>
      <c r="H69" s="22">
        <v>2.9228291827200001</v>
      </c>
      <c r="I69" s="22">
        <v>609782978242</v>
      </c>
      <c r="J69" s="22">
        <v>61827473.873000003</v>
      </c>
      <c r="K69" s="22">
        <f t="shared" si="27"/>
        <v>8.66026006473842</v>
      </c>
      <c r="L69" s="22">
        <f t="shared" si="28"/>
        <v>11.391556214486906</v>
      </c>
      <c r="M69" s="22">
        <f t="shared" si="29"/>
        <v>9.8626539310753181</v>
      </c>
      <c r="N69" s="21">
        <v>527930.49244199996</v>
      </c>
      <c r="O69" s="21">
        <v>7511.5096544999997</v>
      </c>
      <c r="P69" s="22">
        <v>69.440440216100001</v>
      </c>
      <c r="Q69" s="22">
        <v>0.99067417142799996</v>
      </c>
      <c r="R69" s="23">
        <v>394496.16769600002</v>
      </c>
      <c r="S69" s="23">
        <v>133434.32462500001</v>
      </c>
      <c r="T69" s="23">
        <v>0</v>
      </c>
      <c r="U69" s="23">
        <v>5597.1868829200002</v>
      </c>
      <c r="V69" s="23">
        <v>1914.3227711500001</v>
      </c>
      <c r="W69" s="23">
        <v>0</v>
      </c>
      <c r="X69" s="22">
        <v>35.089338324600007</v>
      </c>
      <c r="Y69" s="22">
        <v>34.351101919600005</v>
      </c>
      <c r="Z69" s="22">
        <v>0</v>
      </c>
      <c r="AA69" s="22">
        <v>0.497854225393</v>
      </c>
      <c r="AB69" s="22">
        <v>0.49281994518400002</v>
      </c>
      <c r="AC69" s="22">
        <v>0</v>
      </c>
      <c r="AD69" s="21">
        <v>3468.02890905</v>
      </c>
      <c r="AE69" s="21">
        <v>13893.449697100001</v>
      </c>
      <c r="AF69" s="21">
        <v>377134.68924199999</v>
      </c>
      <c r="AG69" s="21">
        <v>850.56332737600007</v>
      </c>
      <c r="AH69" s="21">
        <v>4746.6235559999996</v>
      </c>
      <c r="AI69" s="21">
        <v>0</v>
      </c>
      <c r="AJ69" s="21">
        <v>1263.4208124300001</v>
      </c>
      <c r="AK69" s="21">
        <v>5129.5684762199999</v>
      </c>
      <c r="AL69" s="21">
        <v>127041.33524299999</v>
      </c>
      <c r="AM69" s="21">
        <v>290.90555328300002</v>
      </c>
      <c r="AN69" s="21">
        <v>1623.41721813</v>
      </c>
      <c r="AO69" s="21">
        <v>0</v>
      </c>
      <c r="AP69" s="22">
        <v>0.32525287039900003</v>
      </c>
      <c r="AQ69" s="22">
        <v>1.32054724234</v>
      </c>
      <c r="AR69" s="22">
        <v>32.705301788699998</v>
      </c>
      <c r="AS69" s="22">
        <v>0.308471537814</v>
      </c>
      <c r="AT69" s="22">
        <v>1.23578375809</v>
      </c>
      <c r="AU69" s="22">
        <v>33.5450829981</v>
      </c>
      <c r="AV69" s="22">
        <v>7.5655245278399993E-2</v>
      </c>
      <c r="AW69" s="22">
        <v>0.42219898039800002</v>
      </c>
      <c r="AX69" s="22">
        <v>0</v>
      </c>
      <c r="AY69" s="22">
        <v>7.4890222846500001E-2</v>
      </c>
      <c r="AZ69" s="22">
        <v>0.41792972262700001</v>
      </c>
      <c r="BA69" s="22">
        <v>0</v>
      </c>
      <c r="BB69" s="7">
        <v>48862.204838799997</v>
      </c>
      <c r="BC69" s="1">
        <v>2.7281397761199999</v>
      </c>
      <c r="BD69" s="9">
        <v>0.96799999999999997</v>
      </c>
      <c r="BE69" s="9">
        <v>2.3E-2</v>
      </c>
      <c r="BF69" s="10">
        <v>8.9999999999999993E-3</v>
      </c>
      <c r="BG69" s="11">
        <v>-17.7665939251</v>
      </c>
      <c r="BH69" s="15">
        <v>926.77777777777783</v>
      </c>
      <c r="BI69" s="20">
        <v>1</v>
      </c>
      <c r="BJ69" s="15">
        <v>926.77777777777783</v>
      </c>
      <c r="BK69" s="13">
        <f t="shared" si="13"/>
        <v>405927220979.58807</v>
      </c>
      <c r="BL69" s="13">
        <f t="shared" si="30"/>
        <v>203855757262.41193</v>
      </c>
      <c r="BM69" s="14">
        <v>66.569129586049343</v>
      </c>
      <c r="BN69" s="14">
        <v>33.43087041395065</v>
      </c>
      <c r="BO69" s="16">
        <v>1.1678688042685983</v>
      </c>
      <c r="BP69" s="16">
        <v>0.428646352335947</v>
      </c>
      <c r="BQ69" s="16">
        <v>4.291951181818181</v>
      </c>
      <c r="BR69" s="16">
        <v>0.4501529090909091</v>
      </c>
      <c r="BS69" s="16">
        <v>0.14091818181818183</v>
      </c>
      <c r="BT69" s="16">
        <v>76.779090909090897</v>
      </c>
      <c r="BU69" s="16">
        <v>31.700909090909089</v>
      </c>
      <c r="BV69" s="16">
        <v>14.091818181818184</v>
      </c>
      <c r="BW69" s="16">
        <f>BT69*4</f>
        <v>307.11636363636359</v>
      </c>
      <c r="BX69" s="16">
        <f>BU69*1.29</f>
        <v>40.894172727272725</v>
      </c>
      <c r="BY69" s="16">
        <f>BV69*1.47</f>
        <v>20.71497272727273</v>
      </c>
      <c r="BZ69" s="16">
        <v>7.2399999999999999E-3</v>
      </c>
      <c r="CA69" s="16">
        <f t="shared" si="31"/>
        <v>231.48457171428569</v>
      </c>
      <c r="CB69" s="9">
        <f t="shared" si="32"/>
        <v>80.388302693821842</v>
      </c>
      <c r="CC69" s="16">
        <f t="shared" si="33"/>
        <v>0.97174470307175831</v>
      </c>
      <c r="CD69" s="16">
        <f t="shared" si="34"/>
        <v>3.1670655523757274</v>
      </c>
      <c r="CE69" s="17">
        <f t="shared" si="35"/>
        <v>84.527112949269338</v>
      </c>
      <c r="CF69" s="9">
        <f t="shared" si="36"/>
        <v>40.721403471914968</v>
      </c>
      <c r="CG69" s="18">
        <v>169669818.18181819</v>
      </c>
      <c r="CH69" s="9">
        <f t="shared" si="37"/>
        <v>1099.3819375370151</v>
      </c>
      <c r="CI69" s="9">
        <f t="shared" si="38"/>
        <v>123.0884282898366</v>
      </c>
      <c r="CJ69" s="5">
        <v>51.509421290794755</v>
      </c>
      <c r="CK69" s="5">
        <v>7.6552041558818456</v>
      </c>
      <c r="CL69" s="5">
        <v>55.221474087352988</v>
      </c>
    </row>
    <row r="70" spans="1:90" x14ac:dyDescent="0.25">
      <c r="A70" s="2" t="s">
        <v>226</v>
      </c>
      <c r="B70" s="1" t="s">
        <v>68</v>
      </c>
      <c r="C70" s="1" t="s">
        <v>324</v>
      </c>
      <c r="D70" s="1" t="s">
        <v>349</v>
      </c>
      <c r="E70" s="1" t="s">
        <v>326</v>
      </c>
      <c r="F70" s="21">
        <v>1.5762717993099999</v>
      </c>
      <c r="G70" s="22">
        <v>2.0971490923299998E-4</v>
      </c>
      <c r="H70" s="22">
        <v>4.0461782366000004E-8</v>
      </c>
      <c r="I70" s="22">
        <v>2201688.1487199999</v>
      </c>
      <c r="J70" s="22">
        <v>1090.9415254800001</v>
      </c>
      <c r="K70" s="22">
        <f t="shared" si="27"/>
        <v>1.4448728575222771</v>
      </c>
      <c r="L70" s="22">
        <f t="shared" si="28"/>
        <v>1.9223295138639822</v>
      </c>
      <c r="M70" s="22">
        <f t="shared" si="29"/>
        <v>2.0181541331936064</v>
      </c>
      <c r="N70" s="21">
        <v>0.51702623889900001</v>
      </c>
      <c r="O70" s="21">
        <v>1.05924555557</v>
      </c>
      <c r="P70" s="22">
        <v>6.8862991505799995E-5</v>
      </c>
      <c r="Q70" s="22">
        <v>1.40851919017E-4</v>
      </c>
      <c r="R70" s="23">
        <v>0.12960371876499999</v>
      </c>
      <c r="S70" s="23">
        <v>0.38742252281</v>
      </c>
      <c r="T70" s="23">
        <v>0</v>
      </c>
      <c r="U70" s="23">
        <v>0.26941030027000001</v>
      </c>
      <c r="V70" s="23">
        <v>0.78983526084400002</v>
      </c>
      <c r="W70" s="23">
        <v>0</v>
      </c>
      <c r="X70" s="22">
        <v>1.1527890646999999E-5</v>
      </c>
      <c r="Y70" s="22">
        <v>5.73351006889E-5</v>
      </c>
      <c r="Z70" s="22">
        <v>0</v>
      </c>
      <c r="AA70" s="22">
        <v>2.3963298074800002E-5</v>
      </c>
      <c r="AB70" s="22">
        <v>1.1688861960100001E-4</v>
      </c>
      <c r="AC70" s="22">
        <v>0</v>
      </c>
      <c r="AD70" s="21">
        <v>5.7259233295600002E-2</v>
      </c>
      <c r="AE70" s="21">
        <v>7.2344485138999992E-2</v>
      </c>
      <c r="AF70" s="21">
        <v>0</v>
      </c>
      <c r="AG70" s="21">
        <v>9.5431056730599997E-2</v>
      </c>
      <c r="AH70" s="21">
        <v>0.17397924342099999</v>
      </c>
      <c r="AI70" s="21">
        <v>0</v>
      </c>
      <c r="AJ70" s="21">
        <v>0.172038305975</v>
      </c>
      <c r="AK70" s="21">
        <v>0.21538421684199999</v>
      </c>
      <c r="AL70" s="21">
        <v>0</v>
      </c>
      <c r="AM70" s="21">
        <v>0.27977702755700001</v>
      </c>
      <c r="AN70" s="21">
        <v>0.51005822576600002</v>
      </c>
      <c r="AO70" s="21">
        <v>0</v>
      </c>
      <c r="AP70" s="22">
        <v>2.5460145066599999E-5</v>
      </c>
      <c r="AQ70" s="22">
        <v>3.1874955662399998E-5</v>
      </c>
      <c r="AR70" s="22">
        <v>0</v>
      </c>
      <c r="AS70" s="22">
        <v>5.09304977727E-6</v>
      </c>
      <c r="AT70" s="22">
        <v>6.4348409316699998E-6</v>
      </c>
      <c r="AU70" s="22">
        <v>0</v>
      </c>
      <c r="AV70" s="22">
        <v>8.4883274004200013E-6</v>
      </c>
      <c r="AW70" s="22">
        <v>1.5474970492100001E-5</v>
      </c>
      <c r="AX70" s="22">
        <v>0</v>
      </c>
      <c r="AY70" s="22">
        <v>4.1404521214799997E-5</v>
      </c>
      <c r="AZ70" s="22">
        <v>7.5484098630199993E-5</v>
      </c>
      <c r="BA70" s="22">
        <v>0</v>
      </c>
      <c r="BB70" s="7">
        <v>324.22791722400001</v>
      </c>
      <c r="BC70" s="1">
        <v>5.1336086750000008E-3</v>
      </c>
      <c r="BD70" s="9">
        <v>0</v>
      </c>
      <c r="BE70" s="9">
        <v>0.45500000000000002</v>
      </c>
      <c r="BF70" s="10">
        <v>0.54500000000000004</v>
      </c>
      <c r="BG70" s="11">
        <v>-19.2767113608</v>
      </c>
      <c r="BH70" s="15">
        <v>536.55555555555554</v>
      </c>
      <c r="BI70" s="20">
        <v>0.99294117647058822</v>
      </c>
      <c r="BJ70" s="15">
        <v>532.76810457516342</v>
      </c>
      <c r="BK70" s="13">
        <f t="shared" si="13"/>
        <v>440337.62342072191</v>
      </c>
      <c r="BL70" s="13">
        <f t="shared" si="30"/>
        <v>1761350.5252992779</v>
      </c>
      <c r="BM70" s="14">
        <v>19.999999712798651</v>
      </c>
      <c r="BN70" s="14">
        <v>80.000000287201345</v>
      </c>
      <c r="BO70" s="16">
        <v>35.429197539999393</v>
      </c>
      <c r="BP70" s="16">
        <v>14.861352563089227</v>
      </c>
      <c r="BQ70" s="16">
        <v>7.4986481818181803</v>
      </c>
      <c r="BR70" s="16">
        <v>0.50162145454545448</v>
      </c>
      <c r="BS70" s="16">
        <v>0.80868181818181806</v>
      </c>
      <c r="BT70" s="16">
        <v>164.80545454545455</v>
      </c>
      <c r="BU70" s="16">
        <v>35.325454545454541</v>
      </c>
      <c r="BV70" s="16">
        <v>80.868181818181839</v>
      </c>
      <c r="BW70" s="16">
        <f>BT70*5.66</f>
        <v>932.79887272727274</v>
      </c>
      <c r="BX70" s="16">
        <f>BU70*1.36</f>
        <v>48.042618181818177</v>
      </c>
      <c r="BY70" s="16">
        <f>BV70*1.36</f>
        <v>109.98072727272731</v>
      </c>
      <c r="BZ70" s="16">
        <v>7.1999999999999998E-3</v>
      </c>
      <c r="CA70" s="16">
        <f t="shared" si="31"/>
        <v>494.13383999999996</v>
      </c>
      <c r="CB70" s="9">
        <f t="shared" si="32"/>
        <v>2438.7097640032912</v>
      </c>
      <c r="CC70" s="16">
        <f t="shared" si="33"/>
        <v>29.479454299782166</v>
      </c>
      <c r="CD70" s="16">
        <f t="shared" si="34"/>
        <v>96.078078862221687</v>
      </c>
      <c r="CE70" s="17">
        <f t="shared" si="35"/>
        <v>2564.2672971652951</v>
      </c>
      <c r="CF70" s="9">
        <f t="shared" si="36"/>
        <v>1411.8284934934766</v>
      </c>
      <c r="CG70" s="18">
        <v>482407.27272727276</v>
      </c>
      <c r="CH70" s="9">
        <f t="shared" si="37"/>
        <v>28.510029365959465</v>
      </c>
      <c r="CI70" s="9">
        <f t="shared" si="38"/>
        <v>2.6826918558941468</v>
      </c>
      <c r="CJ70" s="5">
        <v>68.281537835320549</v>
      </c>
      <c r="CK70" s="5">
        <v>26.511285812747143</v>
      </c>
      <c r="CL70" s="5">
        <v>76.690509995206781</v>
      </c>
    </row>
    <row r="71" spans="1:90" x14ac:dyDescent="0.25">
      <c r="A71" s="2" t="s">
        <v>227</v>
      </c>
      <c r="B71" s="1" t="s">
        <v>69</v>
      </c>
      <c r="C71" s="1" t="s">
        <v>321</v>
      </c>
      <c r="D71" s="1" t="s">
        <v>335</v>
      </c>
      <c r="E71" s="1" t="s">
        <v>329</v>
      </c>
      <c r="F71" s="21">
        <v>121242.543827</v>
      </c>
      <c r="G71" s="22">
        <v>13.2464388194</v>
      </c>
      <c r="H71" s="22">
        <v>0.51385064467599995</v>
      </c>
      <c r="I71" s="22">
        <v>86108168443.300003</v>
      </c>
      <c r="J71" s="22">
        <v>8837753.2399899997</v>
      </c>
      <c r="K71" s="22">
        <f t="shared" si="27"/>
        <v>13.718706614073465</v>
      </c>
      <c r="L71" s="22">
        <f t="shared" si="28"/>
        <v>14.988468742780817</v>
      </c>
      <c r="M71" s="22">
        <f t="shared" si="29"/>
        <v>9.7432193573439765</v>
      </c>
      <c r="N71" s="21">
        <v>118229.61136</v>
      </c>
      <c r="O71" s="21">
        <v>3012.93261033</v>
      </c>
      <c r="P71" s="22">
        <v>12.918076410800001</v>
      </c>
      <c r="Q71" s="22">
        <v>0.32836243002499999</v>
      </c>
      <c r="R71" s="23">
        <v>81347.364247899997</v>
      </c>
      <c r="S71" s="23">
        <v>36882.247156700003</v>
      </c>
      <c r="T71" s="23">
        <v>0</v>
      </c>
      <c r="U71" s="23">
        <v>2085.9101273900001</v>
      </c>
      <c r="V71" s="23">
        <v>927.02248636900003</v>
      </c>
      <c r="W71" s="23">
        <v>0</v>
      </c>
      <c r="X71" s="22">
        <v>7.2356220859300002</v>
      </c>
      <c r="Y71" s="22">
        <v>5.6824543296100005</v>
      </c>
      <c r="Z71" s="22">
        <v>0</v>
      </c>
      <c r="AA71" s="22">
        <v>0.18553591130899999</v>
      </c>
      <c r="AB71" s="22">
        <v>0.14282651817299999</v>
      </c>
      <c r="AC71" s="22">
        <v>0</v>
      </c>
      <c r="AD71" s="21">
        <v>2174.2151085199998</v>
      </c>
      <c r="AE71" s="21">
        <v>5216.8725666099999</v>
      </c>
      <c r="AF71" s="21">
        <v>73956.27656269999</v>
      </c>
      <c r="AG71" s="21">
        <v>440.67706024699999</v>
      </c>
      <c r="AH71" s="21">
        <v>1645.23306579</v>
      </c>
      <c r="AI71" s="21">
        <v>0</v>
      </c>
      <c r="AJ71" s="21">
        <v>1016.80678287</v>
      </c>
      <c r="AK71" s="21">
        <v>2392.0200688800001</v>
      </c>
      <c r="AL71" s="21">
        <v>33473.420302500002</v>
      </c>
      <c r="AM71" s="21">
        <v>195.84618690900001</v>
      </c>
      <c r="AN71" s="21">
        <v>731.17629955099994</v>
      </c>
      <c r="AO71" s="21">
        <v>0</v>
      </c>
      <c r="AP71" s="22">
        <v>0.15665960058600001</v>
      </c>
      <c r="AQ71" s="22">
        <v>0.36853895447599999</v>
      </c>
      <c r="AR71" s="22">
        <v>5.1572557758300004</v>
      </c>
      <c r="AS71" s="22">
        <v>0.19339039449199999</v>
      </c>
      <c r="AT71" s="22">
        <v>0.46402632332499999</v>
      </c>
      <c r="AU71" s="22">
        <v>6.5782053676499999</v>
      </c>
      <c r="AV71" s="22">
        <v>3.9197000386300002E-2</v>
      </c>
      <c r="AW71" s="22">
        <v>0.14633891105999999</v>
      </c>
      <c r="AX71" s="22">
        <v>0</v>
      </c>
      <c r="AY71" s="22">
        <v>3.0174056596900003E-2</v>
      </c>
      <c r="AZ71" s="22">
        <v>0.112652461604</v>
      </c>
      <c r="BA71" s="22">
        <v>0</v>
      </c>
      <c r="BB71" s="7">
        <v>16757.891944899999</v>
      </c>
      <c r="BC71" s="1">
        <v>0.59118118282800003</v>
      </c>
      <c r="BD71" s="9">
        <v>0.91600000000000004</v>
      </c>
      <c r="BE71" s="9">
        <v>5.2999999999999999E-2</v>
      </c>
      <c r="BF71" s="10">
        <v>3.1E-2</v>
      </c>
      <c r="BG71" s="11">
        <v>-32.330641868500003</v>
      </c>
      <c r="BH71" s="15">
        <v>556.22222222222217</v>
      </c>
      <c r="BI71" s="20">
        <v>0.99717813051146376</v>
      </c>
      <c r="BJ71" s="15">
        <v>554.65263570448747</v>
      </c>
      <c r="BK71" s="13">
        <f t="shared" si="13"/>
        <v>51671672845.09671</v>
      </c>
      <c r="BL71" s="13">
        <f t="shared" si="30"/>
        <v>34436495598.203293</v>
      </c>
      <c r="BM71" s="14">
        <v>60.00786427029994</v>
      </c>
      <c r="BN71" s="14">
        <v>39.992135729700067</v>
      </c>
      <c r="BO71" s="16">
        <v>1.3165453641656073</v>
      </c>
      <c r="BP71" s="16">
        <v>0.48321555124320087</v>
      </c>
      <c r="BQ71" s="16">
        <v>2.6947995454545453</v>
      </c>
      <c r="BR71" s="16">
        <v>0.32579963636363635</v>
      </c>
      <c r="BS71" s="16">
        <v>6.828181818181818E-2</v>
      </c>
      <c r="BT71" s="16">
        <v>59.226363636363637</v>
      </c>
      <c r="BU71" s="16">
        <v>22.943636363636365</v>
      </c>
      <c r="BV71" s="16">
        <v>6.8281818181818172</v>
      </c>
      <c r="BW71" s="16">
        <f>BT71*4</f>
        <v>236.90545454545455</v>
      </c>
      <c r="BX71" s="16">
        <f>BU71*1.29</f>
        <v>29.597290909090912</v>
      </c>
      <c r="BY71" s="16">
        <f>BV71*1.47</f>
        <v>10.037427272727271</v>
      </c>
      <c r="BZ71" s="16">
        <v>8.5599999999999999E-3</v>
      </c>
      <c r="CA71" s="16">
        <f t="shared" si="31"/>
        <v>211.11998799999998</v>
      </c>
      <c r="CB71" s="9">
        <f t="shared" si="32"/>
        <v>90.622205900065964</v>
      </c>
      <c r="CC71" s="16">
        <f t="shared" si="33"/>
        <v>1.0954535126767297</v>
      </c>
      <c r="CD71" s="16">
        <f t="shared" si="34"/>
        <v>3.570251603389766</v>
      </c>
      <c r="CE71" s="17">
        <f t="shared" si="35"/>
        <v>95.287911016132455</v>
      </c>
      <c r="CF71" s="9">
        <f t="shared" si="36"/>
        <v>45.90547736810408</v>
      </c>
      <c r="CG71" s="18">
        <v>17539963.636363637</v>
      </c>
      <c r="CH71" s="9">
        <f t="shared" si="37"/>
        <v>85.746601427473578</v>
      </c>
      <c r="CI71" s="9">
        <f t="shared" si="38"/>
        <v>11.030068384014086</v>
      </c>
      <c r="CJ71" s="5">
        <v>51.79189133640665</v>
      </c>
      <c r="CK71" s="5">
        <v>37.392647487145062</v>
      </c>
      <c r="CL71" s="5">
        <v>69.81817946920394</v>
      </c>
    </row>
    <row r="72" spans="1:90" x14ac:dyDescent="0.25">
      <c r="A72" s="2" t="s">
        <v>228</v>
      </c>
      <c r="B72" s="1" t="s">
        <v>70</v>
      </c>
      <c r="C72" s="1" t="s">
        <v>321</v>
      </c>
      <c r="D72" s="1" t="s">
        <v>335</v>
      </c>
      <c r="E72" s="1" t="s">
        <v>329</v>
      </c>
      <c r="F72" s="21">
        <v>9377.80024108</v>
      </c>
      <c r="G72" s="22">
        <v>0.98073017982499999</v>
      </c>
      <c r="H72" s="22">
        <v>1.3526740315399999E-3</v>
      </c>
      <c r="I72" s="22">
        <v>60160455393.300003</v>
      </c>
      <c r="J72" s="22">
        <v>3531571.5546800001</v>
      </c>
      <c r="K72" s="22">
        <f t="shared" si="27"/>
        <v>2.6554184435687396</v>
      </c>
      <c r="L72" s="22">
        <f t="shared" si="28"/>
        <v>2.777036128647449</v>
      </c>
      <c r="M72" s="22">
        <f t="shared" si="29"/>
        <v>17.03503793193034</v>
      </c>
      <c r="N72" s="21">
        <v>6848.6405982200004</v>
      </c>
      <c r="O72" s="21">
        <v>2529.1596537999999</v>
      </c>
      <c r="P72" s="22">
        <v>0.71618021219100003</v>
      </c>
      <c r="Q72" s="22">
        <v>0.264549964666</v>
      </c>
      <c r="R72" s="23">
        <v>5793.6321288199997</v>
      </c>
      <c r="S72" s="23">
        <v>1055.00847144</v>
      </c>
      <c r="T72" s="23">
        <v>0</v>
      </c>
      <c r="U72" s="23">
        <v>2138.8700363299999</v>
      </c>
      <c r="V72" s="23">
        <v>390.28961327899998</v>
      </c>
      <c r="W72" s="23">
        <v>0</v>
      </c>
      <c r="X72" s="22">
        <v>0.51532748425999997</v>
      </c>
      <c r="Y72" s="22">
        <v>0.20085272824100001</v>
      </c>
      <c r="Z72" s="22">
        <v>0</v>
      </c>
      <c r="AA72" s="22">
        <v>0.19024654838499999</v>
      </c>
      <c r="AB72" s="22">
        <v>7.4303416302900008E-2</v>
      </c>
      <c r="AC72" s="22">
        <v>0</v>
      </c>
      <c r="AD72" s="21">
        <v>34.5509939887</v>
      </c>
      <c r="AE72" s="21">
        <v>209.054562269</v>
      </c>
      <c r="AF72" s="21">
        <v>5550.0265772499997</v>
      </c>
      <c r="AG72" s="21">
        <v>226.987841761</v>
      </c>
      <c r="AH72" s="21">
        <v>1911.8821960999999</v>
      </c>
      <c r="AI72" s="21">
        <v>0</v>
      </c>
      <c r="AJ72" s="21">
        <v>6.4011104624900002</v>
      </c>
      <c r="AK72" s="21">
        <v>38.690124227200002</v>
      </c>
      <c r="AL72" s="21">
        <v>1009.91723884</v>
      </c>
      <c r="AM72" s="21">
        <v>41.4195324911</v>
      </c>
      <c r="AN72" s="21">
        <v>348.87008127399997</v>
      </c>
      <c r="AO72" s="21">
        <v>0</v>
      </c>
      <c r="AP72" s="22">
        <v>1.2186447171700001E-3</v>
      </c>
      <c r="AQ72" s="22">
        <v>7.36583373861E-3</v>
      </c>
      <c r="AR72" s="22">
        <v>0.192268249847</v>
      </c>
      <c r="AS72" s="22">
        <v>3.07321493842E-3</v>
      </c>
      <c r="AT72" s="22">
        <v>1.8594822618700001E-2</v>
      </c>
      <c r="AU72" s="22">
        <v>0.49365944685399998</v>
      </c>
      <c r="AV72" s="22">
        <v>2.01899379978E-2</v>
      </c>
      <c r="AW72" s="22">
        <v>0.170056610439</v>
      </c>
      <c r="AX72" s="22">
        <v>0</v>
      </c>
      <c r="AY72" s="22">
        <v>7.885459053890001E-3</v>
      </c>
      <c r="AZ72" s="22">
        <v>6.6417957183400003E-2</v>
      </c>
      <c r="BA72" s="22">
        <v>0</v>
      </c>
      <c r="BB72" s="7">
        <v>48.496483055900001</v>
      </c>
      <c r="BC72" s="1">
        <v>1.71084813708E-3</v>
      </c>
      <c r="BD72" s="9">
        <v>0.96499999999999997</v>
      </c>
      <c r="BE72" s="9">
        <v>2.7E-2</v>
      </c>
      <c r="BF72" s="10">
        <v>7.0000000000000001E-3</v>
      </c>
      <c r="BG72" s="11">
        <v>-18.756304635999999</v>
      </c>
      <c r="BH72" s="15">
        <v>690</v>
      </c>
      <c r="BI72" s="20">
        <v>0.99328802039082409</v>
      </c>
      <c r="BJ72" s="15">
        <v>685.36873406966868</v>
      </c>
      <c r="BK72" s="13">
        <f t="shared" si="13"/>
        <v>3777567157.9452882</v>
      </c>
      <c r="BL72" s="13">
        <f t="shared" si="30"/>
        <v>56382888235.354721</v>
      </c>
      <c r="BM72" s="14">
        <v>6.279153196646166</v>
      </c>
      <c r="BN72" s="14">
        <v>93.720846803353837</v>
      </c>
      <c r="BO72" s="16">
        <v>1.0121667253521125</v>
      </c>
      <c r="BP72" s="16">
        <v>0.37149855633802814</v>
      </c>
      <c r="BQ72" s="16">
        <v>2.0781504545454546</v>
      </c>
      <c r="BR72" s="16">
        <v>0.21563345454545454</v>
      </c>
      <c r="BS72" s="16">
        <v>4.0909090909090912E-3</v>
      </c>
      <c r="BT72" s="16">
        <v>45.673636363636362</v>
      </c>
      <c r="BU72" s="16">
        <v>15.185454545454546</v>
      </c>
      <c r="BV72" s="16">
        <v>0.40909090909090912</v>
      </c>
      <c r="BW72" s="16">
        <f>BT72*4</f>
        <v>182.69454545454545</v>
      </c>
      <c r="BX72" s="16">
        <f>BU72*1.29</f>
        <v>19.589236363636363</v>
      </c>
      <c r="BY72" s="16">
        <f>BV72*1.47</f>
        <v>0.60136363636363643</v>
      </c>
      <c r="BZ72" s="16">
        <v>8.5599999999999999E-3</v>
      </c>
      <c r="CA72" s="16">
        <f t="shared" si="31"/>
        <v>162.80954914285712</v>
      </c>
      <c r="CB72" s="9">
        <f t="shared" si="32"/>
        <v>69.670809595070409</v>
      </c>
      <c r="CC72" s="16">
        <f t="shared" si="33"/>
        <v>0.84219019327464784</v>
      </c>
      <c r="CD72" s="16">
        <f t="shared" si="34"/>
        <v>2.744827464700704</v>
      </c>
      <c r="CE72" s="17">
        <f t="shared" si="35"/>
        <v>73.257827253045761</v>
      </c>
      <c r="CF72" s="9">
        <f t="shared" si="36"/>
        <v>35.292362852112674</v>
      </c>
      <c r="CG72" s="18">
        <v>4617272.7272727266</v>
      </c>
      <c r="CH72" s="9">
        <f t="shared" si="37"/>
        <v>16.998674697499705</v>
      </c>
      <c r="CI72" s="9">
        <f t="shared" si="38"/>
        <v>2.1897179721857332</v>
      </c>
      <c r="CJ72" s="5">
        <v>50.522003344402279</v>
      </c>
      <c r="CK72" s="5">
        <v>0</v>
      </c>
      <c r="CL72" s="5">
        <v>50.522003344402279</v>
      </c>
    </row>
    <row r="73" spans="1:90" x14ac:dyDescent="0.25">
      <c r="A73" s="2" t="s">
        <v>229</v>
      </c>
      <c r="B73" s="1" t="s">
        <v>71</v>
      </c>
      <c r="C73" s="1" t="s">
        <v>321</v>
      </c>
      <c r="D73" s="1" t="s">
        <v>335</v>
      </c>
      <c r="E73" s="1" t="s">
        <v>329</v>
      </c>
      <c r="F73" s="21">
        <v>1082.6346160799999</v>
      </c>
      <c r="G73" s="22">
        <v>0.17455608586900001</v>
      </c>
      <c r="H73" s="22">
        <v>0</v>
      </c>
      <c r="I73" s="22">
        <v>909279605.62699997</v>
      </c>
      <c r="J73" s="22">
        <v>174684.630699</v>
      </c>
      <c r="K73" s="22">
        <f t="shared" si="27"/>
        <v>6.1976523735822715</v>
      </c>
      <c r="L73" s="22">
        <f t="shared" si="28"/>
        <v>9.9926413199898807</v>
      </c>
      <c r="M73" s="22">
        <f t="shared" si="29"/>
        <v>5.2052639204062796</v>
      </c>
      <c r="N73" s="21">
        <v>869.57332040200004</v>
      </c>
      <c r="O73" s="21">
        <v>213.06130092500001</v>
      </c>
      <c r="P73" s="22">
        <v>0.14068347896899999</v>
      </c>
      <c r="Q73" s="22">
        <v>3.3872606317899998E-2</v>
      </c>
      <c r="R73" s="23">
        <v>345.01494134699999</v>
      </c>
      <c r="S73" s="23">
        <v>524.55837863800002</v>
      </c>
      <c r="T73" s="23">
        <v>0</v>
      </c>
      <c r="U73" s="23">
        <v>89.482665214099995</v>
      </c>
      <c r="V73" s="23">
        <v>123.578636242</v>
      </c>
      <c r="W73" s="23">
        <v>0</v>
      </c>
      <c r="X73" s="22">
        <v>3.0688120757600003E-2</v>
      </c>
      <c r="Y73" s="22">
        <v>0.10999535909300001</v>
      </c>
      <c r="Z73" s="22">
        <v>0</v>
      </c>
      <c r="AA73" s="22">
        <v>7.9592344550399995E-3</v>
      </c>
      <c r="AB73" s="22">
        <v>2.59133720613E-2</v>
      </c>
      <c r="AC73" s="22">
        <v>0</v>
      </c>
      <c r="AD73" s="21">
        <v>234.16443578400001</v>
      </c>
      <c r="AE73" s="21">
        <v>110.850505756</v>
      </c>
      <c r="AF73" s="21">
        <v>0</v>
      </c>
      <c r="AG73" s="21">
        <v>50.405874367999999</v>
      </c>
      <c r="AH73" s="21">
        <v>39.076790644799999</v>
      </c>
      <c r="AI73" s="21">
        <v>0</v>
      </c>
      <c r="AJ73" s="21">
        <v>359.04976375000001</v>
      </c>
      <c r="AK73" s="21">
        <v>165.50861861999999</v>
      </c>
      <c r="AL73" s="21">
        <v>0</v>
      </c>
      <c r="AM73" s="21">
        <v>69.612245269700011</v>
      </c>
      <c r="AN73" s="21">
        <v>53.966391276500005</v>
      </c>
      <c r="AO73" s="21">
        <v>0</v>
      </c>
      <c r="AP73" s="22">
        <v>7.5289632274600005E-2</v>
      </c>
      <c r="AQ73" s="22">
        <v>3.4705726960600002E-2</v>
      </c>
      <c r="AR73" s="22">
        <v>0</v>
      </c>
      <c r="AS73" s="22">
        <v>2.0828276174000002E-2</v>
      </c>
      <c r="AT73" s="22">
        <v>9.8598445438999992E-3</v>
      </c>
      <c r="AU73" s="22">
        <v>0</v>
      </c>
      <c r="AV73" s="22">
        <v>4.4834624908400003E-3</v>
      </c>
      <c r="AW73" s="22">
        <v>3.4757719884200003E-3</v>
      </c>
      <c r="AX73" s="22">
        <v>0</v>
      </c>
      <c r="AY73" s="22">
        <v>1.4597086216600001E-2</v>
      </c>
      <c r="AZ73" s="22">
        <v>1.1316285902E-2</v>
      </c>
      <c r="BA73" s="22">
        <v>0</v>
      </c>
      <c r="BB73" s="7">
        <v>30.000509560099999</v>
      </c>
      <c r="BC73" s="1">
        <v>1.05835134506E-3</v>
      </c>
      <c r="BD73" s="9">
        <v>0</v>
      </c>
      <c r="BE73" s="9">
        <v>0.26200000000000001</v>
      </c>
      <c r="BF73" s="10">
        <v>0.73799999999999999</v>
      </c>
      <c r="BG73" s="11">
        <v>-28.430397114200002</v>
      </c>
      <c r="BH73" s="15">
        <v>754.88888888888891</v>
      </c>
      <c r="BI73" s="20">
        <v>1</v>
      </c>
      <c r="BJ73" s="15">
        <v>754.88888888888891</v>
      </c>
      <c r="BK73" s="13">
        <f t="shared" si="13"/>
        <v>548383528.6391772</v>
      </c>
      <c r="BL73" s="13">
        <f t="shared" si="30"/>
        <v>360896076.98782283</v>
      </c>
      <c r="BM73" s="14">
        <v>60.309669901925886</v>
      </c>
      <c r="BN73" s="14">
        <v>39.690330098074114</v>
      </c>
      <c r="BO73" s="16">
        <v>6.3976071047957372</v>
      </c>
      <c r="BP73" s="16">
        <v>2.3481327175843694</v>
      </c>
      <c r="BQ73" s="16">
        <v>5.3417413636363644</v>
      </c>
      <c r="BR73" s="16">
        <v>0.38998363636363642</v>
      </c>
      <c r="BS73" s="16">
        <v>0.7618636363636363</v>
      </c>
      <c r="BT73" s="16">
        <v>117.40090909090908</v>
      </c>
      <c r="BU73" s="16">
        <v>27.463636363636365</v>
      </c>
      <c r="BV73" s="16">
        <v>76.186363636363623</v>
      </c>
      <c r="BW73" s="16">
        <f>BT73*4</f>
        <v>469.60363636363633</v>
      </c>
      <c r="BX73" s="16">
        <f>BU73*1.29</f>
        <v>35.428090909090912</v>
      </c>
      <c r="BY73" s="16">
        <f>BV73*1.47</f>
        <v>111.99395454545453</v>
      </c>
      <c r="BZ73" s="16">
        <v>8.5599999999999999E-3</v>
      </c>
      <c r="CA73" s="16">
        <f t="shared" si="31"/>
        <v>418.49063485714282</v>
      </c>
      <c r="CB73" s="9">
        <f t="shared" si="32"/>
        <v>440.36862238010656</v>
      </c>
      <c r="CC73" s="16">
        <f t="shared" si="33"/>
        <v>5.323235618330374</v>
      </c>
      <c r="CD73" s="16">
        <f t="shared" si="34"/>
        <v>17.349244200355241</v>
      </c>
      <c r="CE73" s="17">
        <f t="shared" si="35"/>
        <v>463.0411021987922</v>
      </c>
      <c r="CF73" s="9">
        <f t="shared" si="36"/>
        <v>223.07260817051508</v>
      </c>
      <c r="CG73" s="18">
        <v>395309.09090909088</v>
      </c>
      <c r="CH73" s="9">
        <f t="shared" si="37"/>
        <v>6.0242450790910258</v>
      </c>
      <c r="CI73" s="9">
        <f t="shared" si="38"/>
        <v>0.6805760008728069</v>
      </c>
      <c r="CJ73" s="5">
        <v>54.474108232479921</v>
      </c>
      <c r="CK73" s="5">
        <v>5.7810319985794214</v>
      </c>
      <c r="CL73" s="5">
        <v>57.105974603198895</v>
      </c>
    </row>
    <row r="74" spans="1:90" x14ac:dyDescent="0.25">
      <c r="A74" s="2" t="s">
        <v>230</v>
      </c>
      <c r="B74" s="1" t="s">
        <v>72</v>
      </c>
      <c r="C74" s="1" t="s">
        <v>324</v>
      </c>
      <c r="D74" s="1" t="s">
        <v>325</v>
      </c>
      <c r="E74" s="1" t="s">
        <v>326</v>
      </c>
      <c r="F74" s="21">
        <v>8945.4786671099992</v>
      </c>
      <c r="G74" s="22">
        <v>0.91679354229799992</v>
      </c>
      <c r="H74" s="22">
        <v>4.5070645109000001E-3</v>
      </c>
      <c r="I74" s="22">
        <v>11951504164.1</v>
      </c>
      <c r="J74" s="22">
        <v>3825270.9668399999</v>
      </c>
      <c r="K74" s="22">
        <f t="shared" si="27"/>
        <v>2.3385215700156601</v>
      </c>
      <c r="L74" s="22">
        <f t="shared" si="28"/>
        <v>2.3966760792774626</v>
      </c>
      <c r="M74" s="22">
        <f t="shared" si="29"/>
        <v>3.1243549196131752</v>
      </c>
      <c r="N74" s="21">
        <v>5851.0783801099997</v>
      </c>
      <c r="O74" s="21">
        <v>3094.4002835900001</v>
      </c>
      <c r="P74" s="22">
        <v>0.60628464644699998</v>
      </c>
      <c r="Q74" s="22">
        <v>0.310508897758</v>
      </c>
      <c r="R74" s="23">
        <v>3019.25391833</v>
      </c>
      <c r="S74" s="23">
        <v>2831.8244424499999</v>
      </c>
      <c r="T74" s="23">
        <v>0</v>
      </c>
      <c r="U74" s="23">
        <v>1930.9402162599999</v>
      </c>
      <c r="V74" s="23">
        <v>1163.4600754400001</v>
      </c>
      <c r="W74" s="23">
        <v>0</v>
      </c>
      <c r="X74" s="22">
        <v>0.26855425032899999</v>
      </c>
      <c r="Y74" s="22">
        <v>0.33773039555999995</v>
      </c>
      <c r="Z74" s="22">
        <v>0</v>
      </c>
      <c r="AA74" s="22">
        <v>0.171751768098</v>
      </c>
      <c r="AB74" s="22">
        <v>0.138757129393</v>
      </c>
      <c r="AC74" s="22">
        <v>0</v>
      </c>
      <c r="AD74" s="21">
        <v>396.168607818</v>
      </c>
      <c r="AE74" s="21">
        <v>1016.4844259600001</v>
      </c>
      <c r="AF74" s="21">
        <v>1606.6008929700001</v>
      </c>
      <c r="AG74" s="21">
        <v>405.59024378500004</v>
      </c>
      <c r="AH74" s="21">
        <v>1525.3499683499999</v>
      </c>
      <c r="AI74" s="21">
        <v>0</v>
      </c>
      <c r="AJ74" s="21">
        <v>384.17846810000003</v>
      </c>
      <c r="AK74" s="21">
        <v>905.26856339599999</v>
      </c>
      <c r="AL74" s="21">
        <v>1542.3774134400001</v>
      </c>
      <c r="AM74" s="21">
        <v>244.382530489</v>
      </c>
      <c r="AN74" s="21">
        <v>919.07754521699997</v>
      </c>
      <c r="AO74" s="21">
        <v>0</v>
      </c>
      <c r="AP74" s="22">
        <v>4.5818075453599998E-2</v>
      </c>
      <c r="AQ74" s="22">
        <v>0.107964570546</v>
      </c>
      <c r="AR74" s="22">
        <v>0.18394774948100001</v>
      </c>
      <c r="AS74" s="22">
        <v>3.5238097183500003E-2</v>
      </c>
      <c r="AT74" s="22">
        <v>9.0413466241399995E-2</v>
      </c>
      <c r="AU74" s="22">
        <v>0.14290268682900001</v>
      </c>
      <c r="AV74" s="22">
        <v>3.60761255218E-2</v>
      </c>
      <c r="AW74" s="22">
        <v>0.13567564251299999</v>
      </c>
      <c r="AX74" s="22">
        <v>0</v>
      </c>
      <c r="AY74" s="22">
        <v>2.9145665713099997E-2</v>
      </c>
      <c r="AZ74" s="22">
        <v>0.10961146388</v>
      </c>
      <c r="BA74" s="22">
        <v>0</v>
      </c>
      <c r="BB74" s="7">
        <v>5624.77579694</v>
      </c>
      <c r="BC74" s="1">
        <v>8.9058950229299993E-2</v>
      </c>
      <c r="BD74" s="9">
        <v>0.60699999999999998</v>
      </c>
      <c r="BE74" s="9">
        <v>0.248</v>
      </c>
      <c r="BF74" s="10">
        <v>0.14399999999999999</v>
      </c>
      <c r="BG74" s="11">
        <v>-41.371599459599999</v>
      </c>
      <c r="BH74" s="15">
        <v>471.66666666666669</v>
      </c>
      <c r="BI74" s="20">
        <v>0.91027190332326291</v>
      </c>
      <c r="BJ74" s="15">
        <v>429.34491440080569</v>
      </c>
      <c r="BK74" s="13">
        <f t="shared" ref="BK74:BK137" si="39">I74*BM74*0.01</f>
        <v>3531058815.5121279</v>
      </c>
      <c r="BL74" s="13">
        <f t="shared" si="30"/>
        <v>8420445348.5878735</v>
      </c>
      <c r="BM74" s="14">
        <v>29.544890475951497</v>
      </c>
      <c r="BN74" s="14">
        <v>70.45510952404851</v>
      </c>
      <c r="BO74" s="16">
        <v>16.703212969544325</v>
      </c>
      <c r="BP74" s="16">
        <v>7.0064340745090155</v>
      </c>
      <c r="BQ74" s="16">
        <v>3.2970954545454543</v>
      </c>
      <c r="BR74" s="16">
        <v>0.39681254545454547</v>
      </c>
      <c r="BS74" s="16">
        <v>0.23931818181818179</v>
      </c>
      <c r="BT74" s="16">
        <v>72.463636363636382</v>
      </c>
      <c r="BU74" s="16">
        <v>27.944545454545452</v>
      </c>
      <c r="BV74" s="16">
        <v>23.931818181818187</v>
      </c>
      <c r="BW74" s="16">
        <f>BT74*5.66</f>
        <v>410.14418181818195</v>
      </c>
      <c r="BX74" s="16">
        <f>BU74*1.36</f>
        <v>38.004581818181819</v>
      </c>
      <c r="BY74" s="16">
        <f>BV74*1.36</f>
        <v>32.547272727272734</v>
      </c>
      <c r="BZ74" s="16">
        <v>7.1999999999999998E-3</v>
      </c>
      <c r="CA74" s="16">
        <f t="shared" si="31"/>
        <v>217.26668571428579</v>
      </c>
      <c r="CB74" s="9">
        <f t="shared" si="32"/>
        <v>1149.737826070301</v>
      </c>
      <c r="CC74" s="16">
        <f t="shared" si="33"/>
        <v>13.898186738192182</v>
      </c>
      <c r="CD74" s="16">
        <f t="shared" si="34"/>
        <v>45.296329704575953</v>
      </c>
      <c r="CE74" s="17">
        <f t="shared" si="35"/>
        <v>1208.9323425130692</v>
      </c>
      <c r="CF74" s="9">
        <f t="shared" si="36"/>
        <v>665.61123707835645</v>
      </c>
      <c r="CG74" s="18">
        <v>10324581.818181818</v>
      </c>
      <c r="CH74" s="9">
        <f t="shared" si="37"/>
        <v>285.40110631013812</v>
      </c>
      <c r="CI74" s="9">
        <f t="shared" si="38"/>
        <v>26.5600517893735</v>
      </c>
      <c r="CJ74" s="5">
        <v>64.63946209189973</v>
      </c>
      <c r="CK74" s="5">
        <v>12.734208436252661</v>
      </c>
      <c r="CL74" s="5">
        <v>69.142346693297355</v>
      </c>
    </row>
    <row r="75" spans="1:90" x14ac:dyDescent="0.25">
      <c r="A75" s="2" t="s">
        <v>231</v>
      </c>
      <c r="B75" s="1" t="s">
        <v>73</v>
      </c>
      <c r="C75" s="1" t="s">
        <v>332</v>
      </c>
      <c r="D75" s="1" t="s">
        <v>333</v>
      </c>
      <c r="E75" s="1" t="s">
        <v>339</v>
      </c>
      <c r="F75" s="21">
        <v>208.31130602600001</v>
      </c>
      <c r="G75" s="22">
        <v>3.1533970026000002E-2</v>
      </c>
      <c r="H75" s="22">
        <v>3.56748761088E-5</v>
      </c>
      <c r="I75" s="22">
        <v>192865758.734</v>
      </c>
      <c r="J75" s="22">
        <v>24714.6805852</v>
      </c>
      <c r="K75" s="22">
        <f t="shared" si="27"/>
        <v>8.428646500523417</v>
      </c>
      <c r="L75" s="22">
        <f t="shared" si="28"/>
        <v>12.759205977714974</v>
      </c>
      <c r="M75" s="22">
        <f t="shared" si="29"/>
        <v>7.803692144396746</v>
      </c>
      <c r="N75" s="21">
        <v>205.107100476</v>
      </c>
      <c r="O75" s="21">
        <v>3.20420903072</v>
      </c>
      <c r="P75" s="22">
        <v>3.1056601531999999E-2</v>
      </c>
      <c r="Q75" s="22">
        <v>4.7736861941199998E-4</v>
      </c>
      <c r="R75" s="23">
        <v>39.059293011699999</v>
      </c>
      <c r="S75" s="23">
        <v>166.04780658000001</v>
      </c>
      <c r="T75" s="23">
        <v>0</v>
      </c>
      <c r="U75" s="23">
        <v>0.71129252135900001</v>
      </c>
      <c r="V75" s="23">
        <v>2.4929165215000002</v>
      </c>
      <c r="W75" s="23">
        <v>0</v>
      </c>
      <c r="X75" s="22">
        <v>3.4742156549699998E-3</v>
      </c>
      <c r="Y75" s="22">
        <v>2.75823857851E-2</v>
      </c>
      <c r="Z75" s="22">
        <v>0</v>
      </c>
      <c r="AA75" s="22">
        <v>6.32674953528E-5</v>
      </c>
      <c r="AB75" s="22">
        <v>4.1410112747599997E-4</v>
      </c>
      <c r="AC75" s="22">
        <v>0</v>
      </c>
      <c r="AD75" s="21">
        <v>2.7681548412799999</v>
      </c>
      <c r="AE75" s="21">
        <v>9.8997635107400015</v>
      </c>
      <c r="AF75" s="21">
        <v>26.391375038300001</v>
      </c>
      <c r="AG75" s="21">
        <v>0.11012002281199999</v>
      </c>
      <c r="AH75" s="21">
        <v>0.60117251145899997</v>
      </c>
      <c r="AI75" s="21">
        <v>0</v>
      </c>
      <c r="AJ75" s="21">
        <v>11.7103725217</v>
      </c>
      <c r="AK75" s="21">
        <v>39.732610050800005</v>
      </c>
      <c r="AL75" s="21">
        <v>114.604825623</v>
      </c>
      <c r="AM75" s="21">
        <v>0.38594531625400003</v>
      </c>
      <c r="AN75" s="21">
        <v>2.1069711850599999</v>
      </c>
      <c r="AO75" s="21">
        <v>0</v>
      </c>
      <c r="AP75" s="22">
        <v>1.9452229834400001E-3</v>
      </c>
      <c r="AQ75" s="22">
        <v>6.6000279954999998E-3</v>
      </c>
      <c r="AR75" s="22">
        <v>1.9037134782999999E-2</v>
      </c>
      <c r="AS75" s="22">
        <v>2.4621968382800003E-4</v>
      </c>
      <c r="AT75" s="22">
        <v>8.80556461656E-4</v>
      </c>
      <c r="AU75" s="22">
        <v>2.3474394916199997E-3</v>
      </c>
      <c r="AV75" s="22">
        <v>9.7948700839799994E-6</v>
      </c>
      <c r="AW75" s="22">
        <v>5.3472624617200002E-5</v>
      </c>
      <c r="AX75" s="22">
        <v>0</v>
      </c>
      <c r="AY75" s="22">
        <v>6.4109805570299993E-5</v>
      </c>
      <c r="AZ75" s="22">
        <v>3.4999132079699998E-4</v>
      </c>
      <c r="BA75" s="22">
        <v>0</v>
      </c>
      <c r="BB75" s="7">
        <v>743.129122198</v>
      </c>
      <c r="BC75" s="1">
        <v>1.4656157730099999E-2</v>
      </c>
      <c r="BD75" s="9">
        <v>0.755</v>
      </c>
      <c r="BE75" s="9">
        <v>0.17499999999999999</v>
      </c>
      <c r="BF75" s="10">
        <v>7.0000000000000007E-2</v>
      </c>
      <c r="BG75" s="11">
        <v>-35.556084324499999</v>
      </c>
      <c r="BH75" s="15">
        <v>598</v>
      </c>
      <c r="BI75" s="20">
        <v>1</v>
      </c>
      <c r="BJ75" s="15">
        <v>598</v>
      </c>
      <c r="BK75" s="13">
        <f t="shared" si="39"/>
        <v>173579184.73994067</v>
      </c>
      <c r="BL75" s="13">
        <f t="shared" si="30"/>
        <v>19286573.994059335</v>
      </c>
      <c r="BM75" s="14">
        <v>90.000000974429412</v>
      </c>
      <c r="BN75" s="14">
        <v>9.9999990255705953</v>
      </c>
      <c r="BO75" s="16">
        <v>1.3337593473827329</v>
      </c>
      <c r="BP75" s="16">
        <v>0.55946702923181513</v>
      </c>
      <c r="BQ75" s="16">
        <v>1.3087454545454547</v>
      </c>
      <c r="BR75" s="16">
        <v>0.19592127272727275</v>
      </c>
      <c r="BS75" s="16">
        <v>8.1490909090909086E-2</v>
      </c>
      <c r="BT75" s="16">
        <v>28.763636363636365</v>
      </c>
      <c r="BU75" s="16">
        <v>13.797272727272723</v>
      </c>
      <c r="BV75" s="16">
        <v>8.1490909090909085</v>
      </c>
      <c r="BW75" s="16">
        <f>BT75*3.53</f>
        <v>101.53563636363637</v>
      </c>
      <c r="BX75" s="16">
        <f>BU75*0.54</f>
        <v>7.4505272727272711</v>
      </c>
      <c r="BY75" s="16">
        <f>BV75*1.02</f>
        <v>8.3120727272727262</v>
      </c>
      <c r="BZ75" s="16">
        <v>2.4420000000000001E-2</v>
      </c>
      <c r="CA75" s="16">
        <f t="shared" si="31"/>
        <v>292.50276000000002</v>
      </c>
      <c r="CB75" s="9">
        <f t="shared" si="32"/>
        <v>91.807101744844772</v>
      </c>
      <c r="CC75" s="16">
        <f t="shared" si="33"/>
        <v>1.1097766943122596</v>
      </c>
      <c r="CD75" s="16">
        <f t="shared" si="34"/>
        <v>3.6169330568774081</v>
      </c>
      <c r="CE75" s="17">
        <f t="shared" si="35"/>
        <v>96.533811496034446</v>
      </c>
      <c r="CF75" s="9">
        <f t="shared" si="36"/>
        <v>53.149367777022434</v>
      </c>
      <c r="CG75" s="18">
        <v>236272.72727272729</v>
      </c>
      <c r="CH75" s="9">
        <f t="shared" si="37"/>
        <v>0.82208354997548205</v>
      </c>
      <c r="CI75" s="9">
        <f t="shared" si="38"/>
        <v>0.13219085204361508</v>
      </c>
      <c r="CJ75" s="5">
        <v>70.583803288680002</v>
      </c>
      <c r="CK75" s="5">
        <v>4.3884208551330666</v>
      </c>
      <c r="CL75" s="5">
        <v>71.87470979994653</v>
      </c>
    </row>
    <row r="76" spans="1:90" x14ac:dyDescent="0.25">
      <c r="A76" s="2" t="s">
        <v>232</v>
      </c>
      <c r="B76" s="1" t="s">
        <v>74</v>
      </c>
      <c r="C76" s="1" t="s">
        <v>321</v>
      </c>
      <c r="D76" s="1" t="s">
        <v>335</v>
      </c>
      <c r="E76" s="1" t="s">
        <v>329</v>
      </c>
      <c r="F76" s="21">
        <v>834.95773937599995</v>
      </c>
      <c r="G76" s="22">
        <v>0.110170703631</v>
      </c>
      <c r="H76" s="22">
        <v>5.4320104157899998E-3</v>
      </c>
      <c r="I76" s="22">
        <v>754657711.58099997</v>
      </c>
      <c r="J76" s="22">
        <v>81012.108533599996</v>
      </c>
      <c r="K76" s="22">
        <f t="shared" si="27"/>
        <v>10.30657952853676</v>
      </c>
      <c r="L76" s="22">
        <f t="shared" si="28"/>
        <v>13.599288504545761</v>
      </c>
      <c r="M76" s="22">
        <f t="shared" si="29"/>
        <v>9.3153693347952249</v>
      </c>
      <c r="N76" s="21">
        <v>645.47054957900002</v>
      </c>
      <c r="O76" s="21">
        <v>189.487185444</v>
      </c>
      <c r="P76" s="22">
        <v>8.4698460404699999E-2</v>
      </c>
      <c r="Q76" s="22">
        <v>2.5472243451800002E-2</v>
      </c>
      <c r="R76" s="23">
        <v>318.16606698800001</v>
      </c>
      <c r="S76" s="23">
        <v>327.30447785000001</v>
      </c>
      <c r="T76" s="23">
        <v>0</v>
      </c>
      <c r="U76" s="23">
        <v>86.111508657399995</v>
      </c>
      <c r="V76" s="23">
        <v>103.375674644</v>
      </c>
      <c r="W76" s="23">
        <v>0</v>
      </c>
      <c r="X76" s="22">
        <v>2.82999880942E-2</v>
      </c>
      <c r="Y76" s="22">
        <v>5.6398472990000004E-2</v>
      </c>
      <c r="Z76" s="22">
        <v>0</v>
      </c>
      <c r="AA76" s="22">
        <v>7.6593795416400002E-3</v>
      </c>
      <c r="AB76" s="22">
        <v>1.7812864074100002E-2</v>
      </c>
      <c r="AC76" s="22">
        <v>0</v>
      </c>
      <c r="AD76" s="21">
        <v>264.94923941999997</v>
      </c>
      <c r="AE76" s="21">
        <v>5.0405796803900005</v>
      </c>
      <c r="AF76" s="21">
        <v>48.176248492100001</v>
      </c>
      <c r="AG76" s="21">
        <v>83.202685025999997</v>
      </c>
      <c r="AH76" s="21">
        <v>2.90882419766</v>
      </c>
      <c r="AI76" s="21">
        <v>0</v>
      </c>
      <c r="AJ76" s="21">
        <v>272.31444077899999</v>
      </c>
      <c r="AK76" s="21">
        <v>5.2168019657800002</v>
      </c>
      <c r="AL76" s="21">
        <v>49.773235939900005</v>
      </c>
      <c r="AM76" s="21">
        <v>99.883671494799998</v>
      </c>
      <c r="AN76" s="21">
        <v>3.4920032109700001</v>
      </c>
      <c r="AO76" s="21">
        <v>0</v>
      </c>
      <c r="AP76" s="22">
        <v>4.6923032268300004E-2</v>
      </c>
      <c r="AQ76" s="22">
        <v>8.9891731527600002E-4</v>
      </c>
      <c r="AR76" s="22">
        <v>8.5765233319100003E-3</v>
      </c>
      <c r="AS76" s="22">
        <v>2.3566498781499998E-2</v>
      </c>
      <c r="AT76" s="22">
        <v>4.4834555907599996E-4</v>
      </c>
      <c r="AU76" s="22">
        <v>4.2851434445300004E-3</v>
      </c>
      <c r="AV76" s="22">
        <v>7.4006476957299994E-3</v>
      </c>
      <c r="AW76" s="22">
        <v>2.5873183342599998E-4</v>
      </c>
      <c r="AX76" s="22">
        <v>0</v>
      </c>
      <c r="AY76" s="22">
        <v>1.72111501768E-2</v>
      </c>
      <c r="AZ76" s="22">
        <v>6.0171388210000006E-4</v>
      </c>
      <c r="BA76" s="22">
        <v>0</v>
      </c>
      <c r="BB76" s="7">
        <v>113.70274011799999</v>
      </c>
      <c r="BC76" s="1">
        <v>4.0111799635900005E-3</v>
      </c>
      <c r="BD76" s="9">
        <v>0.17599999999999999</v>
      </c>
      <c r="BE76" s="9">
        <v>1.2999999999999999E-2</v>
      </c>
      <c r="BF76" s="10">
        <v>0.81200000000000006</v>
      </c>
      <c r="BG76" s="11">
        <v>-36.630961609800003</v>
      </c>
      <c r="BH76" s="15">
        <v>631</v>
      </c>
      <c r="BI76" s="20">
        <v>0.98307926829268288</v>
      </c>
      <c r="BJ76" s="15">
        <v>620.32301829268295</v>
      </c>
      <c r="BK76" s="13">
        <f t="shared" si="39"/>
        <v>263785976.06131288</v>
      </c>
      <c r="BL76" s="13">
        <f t="shared" si="30"/>
        <v>490871735.51968718</v>
      </c>
      <c r="BM76" s="14">
        <v>34.954386871457793</v>
      </c>
      <c r="BN76" s="14">
        <v>65.045613128542215</v>
      </c>
      <c r="BO76" s="16">
        <v>2.8586014669926652</v>
      </c>
      <c r="BP76" s="16">
        <v>1.0492009779951099</v>
      </c>
      <c r="BQ76" s="16">
        <v>1.455586363636364</v>
      </c>
      <c r="BR76" s="16">
        <v>0.3015434545454545</v>
      </c>
      <c r="BS76" s="16">
        <v>0.1938</v>
      </c>
      <c r="BT76" s="16">
        <v>31.990909090909096</v>
      </c>
      <c r="BU76" s="16">
        <v>21.235454545454544</v>
      </c>
      <c r="BV76" s="16">
        <v>19.38</v>
      </c>
      <c r="BW76" s="16">
        <f>BT76*4</f>
        <v>127.96363636363638</v>
      </c>
      <c r="BX76" s="16">
        <f>BU76*1.29</f>
        <v>27.393736363636364</v>
      </c>
      <c r="BY76" s="16">
        <f>BV76*1.47</f>
        <v>28.488599999999998</v>
      </c>
      <c r="BZ76" s="16">
        <v>8.5599999999999999E-3</v>
      </c>
      <c r="CA76" s="16">
        <f t="shared" si="31"/>
        <v>114.03570857142859</v>
      </c>
      <c r="CB76" s="9">
        <f t="shared" si="32"/>
        <v>196.76706764466178</v>
      </c>
      <c r="CC76" s="16">
        <f t="shared" si="33"/>
        <v>2.3785469939690307</v>
      </c>
      <c r="CD76" s="16">
        <f t="shared" si="34"/>
        <v>7.7520507449062759</v>
      </c>
      <c r="CE76" s="17">
        <f t="shared" si="35"/>
        <v>206.89766538353709</v>
      </c>
      <c r="CF76" s="9">
        <f t="shared" si="36"/>
        <v>99.674092909535446</v>
      </c>
      <c r="CG76" s="18">
        <v>267372.72727272735</v>
      </c>
      <c r="CH76" s="9">
        <f t="shared" si="37"/>
        <v>1.5664652235643723</v>
      </c>
      <c r="CI76" s="9">
        <f t="shared" si="38"/>
        <v>0.16161436465303333</v>
      </c>
      <c r="CJ76" s="5">
        <v>54.147813462234154</v>
      </c>
      <c r="CK76" s="5">
        <v>0</v>
      </c>
      <c r="CL76" s="5">
        <v>54.147813462234154</v>
      </c>
    </row>
    <row r="77" spans="1:90" x14ac:dyDescent="0.25">
      <c r="A77" s="2" t="s">
        <v>233</v>
      </c>
      <c r="B77" s="1" t="s">
        <v>75</v>
      </c>
      <c r="C77" s="1" t="s">
        <v>321</v>
      </c>
      <c r="D77" s="1" t="s">
        <v>347</v>
      </c>
      <c r="E77" s="1" t="s">
        <v>348</v>
      </c>
      <c r="F77" s="21">
        <v>15924.5253916</v>
      </c>
      <c r="G77" s="22">
        <v>1.5842698453200001</v>
      </c>
      <c r="H77" s="22">
        <v>3.20262416965E-3</v>
      </c>
      <c r="I77" s="22">
        <v>44322795777</v>
      </c>
      <c r="J77" s="22">
        <v>2725702.2931499998</v>
      </c>
      <c r="K77" s="22">
        <f t="shared" si="27"/>
        <v>5.8423568236414321</v>
      </c>
      <c r="L77" s="22">
        <f t="shared" si="28"/>
        <v>5.8123363263165269</v>
      </c>
      <c r="M77" s="22">
        <f t="shared" si="29"/>
        <v>16.261055320820702</v>
      </c>
      <c r="N77" s="21">
        <v>6807.94611678</v>
      </c>
      <c r="O77" s="21">
        <v>9116.5793199500004</v>
      </c>
      <c r="P77" s="22">
        <v>0.676810786346</v>
      </c>
      <c r="Q77" s="22">
        <v>0.90745905934100002</v>
      </c>
      <c r="R77" s="23">
        <v>4432.7851585799999</v>
      </c>
      <c r="S77" s="23">
        <v>2375.1609447999999</v>
      </c>
      <c r="T77" s="23">
        <v>0</v>
      </c>
      <c r="U77" s="23">
        <v>5898.1218288299997</v>
      </c>
      <c r="V77" s="23">
        <v>3218.4574905300001</v>
      </c>
      <c r="W77" s="23">
        <v>0</v>
      </c>
      <c r="X77" s="22">
        <v>0.39428392749999996</v>
      </c>
      <c r="Y77" s="22">
        <v>0.28252686025099999</v>
      </c>
      <c r="Z77" s="22">
        <v>0</v>
      </c>
      <c r="AA77" s="22">
        <v>0.52462155428799995</v>
      </c>
      <c r="AB77" s="22">
        <v>0.38283750461100002</v>
      </c>
      <c r="AC77" s="22">
        <v>0</v>
      </c>
      <c r="AD77" s="21">
        <v>95.900402266699999</v>
      </c>
      <c r="AE77" s="21">
        <v>1028.95872379</v>
      </c>
      <c r="AF77" s="21">
        <v>3307.9260346900001</v>
      </c>
      <c r="AG77" s="21">
        <v>354.24486966699999</v>
      </c>
      <c r="AH77" s="21">
        <v>5543.8769576599998</v>
      </c>
      <c r="AI77" s="21">
        <v>0</v>
      </c>
      <c r="AJ77" s="21">
        <v>51.138104457700003</v>
      </c>
      <c r="AK77" s="21">
        <v>553.2312374170001</v>
      </c>
      <c r="AL77" s="21">
        <v>1770.79160376</v>
      </c>
      <c r="AM77" s="21">
        <v>193.302560739</v>
      </c>
      <c r="AN77" s="21">
        <v>3025.1549255</v>
      </c>
      <c r="AO77" s="21">
        <v>0</v>
      </c>
      <c r="AP77" s="22">
        <v>6.0829090945200004E-3</v>
      </c>
      <c r="AQ77" s="22">
        <v>6.5807197113800009E-2</v>
      </c>
      <c r="AR77" s="22">
        <v>0.21063675433699999</v>
      </c>
      <c r="AS77" s="22">
        <v>8.5300743856599991E-3</v>
      </c>
      <c r="AT77" s="22">
        <v>9.1523020321699997E-2</v>
      </c>
      <c r="AU77" s="22">
        <v>0.29423083224899999</v>
      </c>
      <c r="AV77" s="22">
        <v>3.1509097141000003E-2</v>
      </c>
      <c r="AW77" s="22">
        <v>0.49311245626099998</v>
      </c>
      <c r="AX77" s="22">
        <v>0</v>
      </c>
      <c r="AY77" s="22">
        <v>2.29934589181E-2</v>
      </c>
      <c r="AZ77" s="22">
        <v>0.35984404572500001</v>
      </c>
      <c r="BA77" s="22">
        <v>0</v>
      </c>
      <c r="BB77" s="7">
        <v>98.500461898699996</v>
      </c>
      <c r="BC77" s="1">
        <v>5.4996091880800003E-3</v>
      </c>
      <c r="BD77" s="9">
        <v>0.80400000000000005</v>
      </c>
      <c r="BE77" s="9">
        <v>0.17199999999999999</v>
      </c>
      <c r="BF77" s="10">
        <v>2.4E-2</v>
      </c>
      <c r="BG77" s="11">
        <v>-21.1439622951</v>
      </c>
      <c r="BH77" s="15">
        <v>428.22222222222223</v>
      </c>
      <c r="BI77" s="20">
        <v>1</v>
      </c>
      <c r="BJ77" s="15">
        <v>428.22222222222223</v>
      </c>
      <c r="BK77" s="13">
        <f t="shared" si="39"/>
        <v>3908596261.4159932</v>
      </c>
      <c r="BL77" s="13">
        <f t="shared" si="30"/>
        <v>40414199515.584007</v>
      </c>
      <c r="BM77" s="14">
        <v>8.8184786020295292</v>
      </c>
      <c r="BN77" s="14">
        <v>91.181521397970471</v>
      </c>
      <c r="BO77" s="16">
        <v>83.12098763862592</v>
      </c>
      <c r="BP77" s="16">
        <v>30.508142715715447</v>
      </c>
      <c r="BQ77" s="16">
        <v>4.3408240909090914</v>
      </c>
      <c r="BR77" s="16">
        <v>1.3749472727272727</v>
      </c>
      <c r="BS77" s="16">
        <v>0.72745454545454569</v>
      </c>
      <c r="BT77" s="16">
        <v>95.402727272727276</v>
      </c>
      <c r="BU77" s="16">
        <v>96.827272727272714</v>
      </c>
      <c r="BV77" s="16">
        <v>72.745454545454535</v>
      </c>
      <c r="BW77" s="16">
        <f>BT77*4</f>
        <v>381.6109090909091</v>
      </c>
      <c r="BX77" s="16">
        <f>BU77*1.29</f>
        <v>124.9071818181818</v>
      </c>
      <c r="BY77" s="16">
        <f>BV77*1.47</f>
        <v>106.93581818181816</v>
      </c>
      <c r="BZ77" s="16">
        <v>6.4999999999999997E-3</v>
      </c>
      <c r="CA77" s="16">
        <f t="shared" si="31"/>
        <v>258.23473928571428</v>
      </c>
      <c r="CB77" s="9">
        <f t="shared" si="32"/>
        <v>5721.4946491254168</v>
      </c>
      <c r="CC77" s="16">
        <f t="shared" si="33"/>
        <v>69.162203114512678</v>
      </c>
      <c r="CD77" s="16">
        <f t="shared" si="34"/>
        <v>225.41026497801374</v>
      </c>
      <c r="CE77" s="17">
        <f t="shared" si="35"/>
        <v>6016.0671172179427</v>
      </c>
      <c r="CF77" s="9">
        <f t="shared" si="36"/>
        <v>2898.2735579929677</v>
      </c>
      <c r="CG77" s="18">
        <v>4698090.9090909092</v>
      </c>
      <c r="CH77" s="9">
        <f t="shared" si="37"/>
        <v>564.11084539435615</v>
      </c>
      <c r="CI77" s="9">
        <f t="shared" si="38"/>
        <v>45.975655401243642</v>
      </c>
      <c r="CJ77" s="5">
        <v>36.231428866092735</v>
      </c>
      <c r="CK77" s="5">
        <v>0.15517084915521601</v>
      </c>
      <c r="CL77" s="5">
        <v>36.330379099415374</v>
      </c>
    </row>
    <row r="78" spans="1:90" x14ac:dyDescent="0.25">
      <c r="A78" s="2" t="s">
        <v>234</v>
      </c>
      <c r="B78" s="1" t="s">
        <v>76</v>
      </c>
      <c r="C78" s="1" t="s">
        <v>321</v>
      </c>
      <c r="D78" s="1" t="s">
        <v>350</v>
      </c>
      <c r="E78" s="1" t="s">
        <v>344</v>
      </c>
      <c r="F78" s="21">
        <v>16786.0119098</v>
      </c>
      <c r="G78" s="22">
        <v>1.7792187592499999</v>
      </c>
      <c r="H78" s="22">
        <v>1.0375464807400002E-3</v>
      </c>
      <c r="I78" s="22">
        <v>13972234921.299999</v>
      </c>
      <c r="J78" s="22">
        <v>2611637.33733</v>
      </c>
      <c r="K78" s="22">
        <f t="shared" si="27"/>
        <v>6.427390078195593</v>
      </c>
      <c r="L78" s="22">
        <f t="shared" si="28"/>
        <v>6.8126563126447683</v>
      </c>
      <c r="M78" s="22">
        <f t="shared" si="29"/>
        <v>5.3499904912465652</v>
      </c>
      <c r="N78" s="21">
        <v>2701.8850057099999</v>
      </c>
      <c r="O78" s="21">
        <v>14084.126876800001</v>
      </c>
      <c r="P78" s="22">
        <v>0.28723854175500002</v>
      </c>
      <c r="Q78" s="22">
        <v>1.4919802177800001</v>
      </c>
      <c r="R78" s="23">
        <v>2458.6853466399998</v>
      </c>
      <c r="S78" s="23">
        <v>243.19964994200001</v>
      </c>
      <c r="T78" s="23">
        <v>0</v>
      </c>
      <c r="U78" s="23">
        <v>12843.922562399999</v>
      </c>
      <c r="V78" s="23">
        <v>1240.2043360800001</v>
      </c>
      <c r="W78" s="23">
        <v>0</v>
      </c>
      <c r="X78" s="22">
        <v>0.21869323207999999</v>
      </c>
      <c r="Y78" s="22">
        <v>6.8545309840300009E-2</v>
      </c>
      <c r="Z78" s="22">
        <v>0</v>
      </c>
      <c r="AA78" s="22">
        <v>1.1424312357499999</v>
      </c>
      <c r="AB78" s="22">
        <v>0.34954898340599999</v>
      </c>
      <c r="AC78" s="22">
        <v>0</v>
      </c>
      <c r="AD78" s="21">
        <v>14.395210579900001</v>
      </c>
      <c r="AE78" s="21">
        <v>1895.60533007</v>
      </c>
      <c r="AF78" s="21">
        <v>548.68480705499996</v>
      </c>
      <c r="AG78" s="21">
        <v>71.222061057099992</v>
      </c>
      <c r="AH78" s="21">
        <v>12772.7004958</v>
      </c>
      <c r="AI78" s="21">
        <v>0</v>
      </c>
      <c r="AJ78" s="21">
        <v>1.42568626826</v>
      </c>
      <c r="AK78" s="21">
        <v>187.48127135600001</v>
      </c>
      <c r="AL78" s="21">
        <v>54.292692572100002</v>
      </c>
      <c r="AM78" s="21">
        <v>6.8771754468699999</v>
      </c>
      <c r="AN78" s="21">
        <v>1233.32715996</v>
      </c>
      <c r="AO78" s="21">
        <v>0</v>
      </c>
      <c r="AP78" s="22">
        <v>4.0182667649299995E-4</v>
      </c>
      <c r="AQ78" s="22">
        <v>5.2841201920599996E-2</v>
      </c>
      <c r="AR78" s="22">
        <v>1.53022811801E-2</v>
      </c>
      <c r="AS78" s="22">
        <v>1.28041399424E-3</v>
      </c>
      <c r="AT78" s="22">
        <v>0.16860882865400001</v>
      </c>
      <c r="AU78" s="22">
        <v>4.8803989458400004E-2</v>
      </c>
      <c r="AV78" s="22">
        <v>6.3350044932099997E-3</v>
      </c>
      <c r="AW78" s="22">
        <v>1.1360962297699999</v>
      </c>
      <c r="AX78" s="22">
        <v>0</v>
      </c>
      <c r="AY78" s="22">
        <v>1.93831743408E-3</v>
      </c>
      <c r="AZ78" s="22">
        <v>0.34761066553600001</v>
      </c>
      <c r="BA78" s="22">
        <v>0</v>
      </c>
      <c r="BB78" s="7">
        <v>6259.1149503400002</v>
      </c>
      <c r="BC78" s="1">
        <v>0.34598996514800001</v>
      </c>
      <c r="BD78" s="9">
        <v>0.33500000000000002</v>
      </c>
      <c r="BE78" s="9">
        <v>0.65700000000000003</v>
      </c>
      <c r="BF78" s="10">
        <v>8.0000000000000002E-3</v>
      </c>
      <c r="BG78" s="11">
        <v>-19.0613739305</v>
      </c>
      <c r="BH78" s="15">
        <v>1020</v>
      </c>
      <c r="BI78" s="20">
        <v>0.99475728155339793</v>
      </c>
      <c r="BJ78" s="15">
        <v>1014.6524271844659</v>
      </c>
      <c r="BK78" s="13">
        <f t="shared" si="39"/>
        <v>1106690618.8518598</v>
      </c>
      <c r="BL78" s="13">
        <f t="shared" si="30"/>
        <v>12865544302.448137</v>
      </c>
      <c r="BM78" s="14">
        <v>7.9206413654322629</v>
      </c>
      <c r="BN78" s="14">
        <v>92.079358634567726</v>
      </c>
      <c r="BO78" s="16">
        <v>0.22067532819094243</v>
      </c>
      <c r="BP78" s="16">
        <v>8.0995120456895345E-2</v>
      </c>
      <c r="BQ78" s="16">
        <v>4.3059545454545455E-2</v>
      </c>
      <c r="BR78" s="16">
        <v>6.9838181818181822E-3</v>
      </c>
      <c r="BS78" s="16">
        <v>5.5454545454545459E-4</v>
      </c>
      <c r="BT78" s="16">
        <v>0.94636363636363641</v>
      </c>
      <c r="BU78" s="16">
        <v>0.49181818181818182</v>
      </c>
      <c r="BV78" s="16">
        <v>5.5454545454545465E-2</v>
      </c>
      <c r="BW78" s="16">
        <f>BT78*4</f>
        <v>3.7854545454545456</v>
      </c>
      <c r="BX78" s="16">
        <f>BU78*1.29</f>
        <v>0.63444545454545453</v>
      </c>
      <c r="BY78" s="16">
        <f>BV78*1.47</f>
        <v>8.1518181818181837E-2</v>
      </c>
      <c r="BZ78" s="16">
        <v>2.66E-3</v>
      </c>
      <c r="CA78" s="16">
        <f t="shared" si="31"/>
        <v>1.048287</v>
      </c>
      <c r="CB78" s="9">
        <f t="shared" si="32"/>
        <v>15.18981842380987</v>
      </c>
      <c r="CC78" s="16">
        <f t="shared" si="33"/>
        <v>0.18361658474341019</v>
      </c>
      <c r="CD78" s="16">
        <f t="shared" si="34"/>
        <v>0.5984347108324708</v>
      </c>
      <c r="CE78" s="17">
        <f t="shared" si="35"/>
        <v>15.971869719385751</v>
      </c>
      <c r="CF78" s="9">
        <f t="shared" si="36"/>
        <v>7.6945364434050578</v>
      </c>
      <c r="CG78" s="18">
        <v>28877209.090909082</v>
      </c>
      <c r="CH78" s="9">
        <f t="shared" si="37"/>
        <v>10.172527022532956</v>
      </c>
      <c r="CI78" s="9">
        <f t="shared" si="38"/>
        <v>0.84367975612155477</v>
      </c>
      <c r="CJ78" s="5">
        <v>18.96688039104766</v>
      </c>
      <c r="CK78" s="5">
        <v>7.0144321165844152</v>
      </c>
      <c r="CL78" s="5">
        <v>24.650893557968267</v>
      </c>
    </row>
    <row r="79" spans="1:90" x14ac:dyDescent="0.25">
      <c r="A79" s="2" t="s">
        <v>235</v>
      </c>
      <c r="B79" s="1" t="s">
        <v>77</v>
      </c>
      <c r="C79" s="1" t="s">
        <v>327</v>
      </c>
      <c r="D79" s="1" t="s">
        <v>345</v>
      </c>
      <c r="E79" s="1" t="s">
        <v>331</v>
      </c>
      <c r="F79" s="21">
        <v>1924.6197454200001</v>
      </c>
      <c r="G79" s="22">
        <v>0.16915822077099998</v>
      </c>
      <c r="H79" s="22">
        <v>2.4810075532599999E-5</v>
      </c>
      <c r="I79" s="22">
        <v>2242366741.3400002</v>
      </c>
      <c r="J79" s="22">
        <v>104160.875117</v>
      </c>
      <c r="K79" s="22">
        <f t="shared" si="27"/>
        <v>18.477376877432597</v>
      </c>
      <c r="L79" s="22">
        <f t="shared" si="28"/>
        <v>16.24009212489727</v>
      </c>
      <c r="M79" s="22">
        <f t="shared" si="29"/>
        <v>21.5279176449049</v>
      </c>
      <c r="N79" s="21">
        <v>50.110852429399998</v>
      </c>
      <c r="O79" s="21">
        <v>1874.50889265</v>
      </c>
      <c r="P79" s="22">
        <v>4.4048559900500004E-3</v>
      </c>
      <c r="Q79" s="22">
        <v>0.16475336486100001</v>
      </c>
      <c r="R79" s="23">
        <v>35.719787994900003</v>
      </c>
      <c r="S79" s="23">
        <v>14.391064515</v>
      </c>
      <c r="T79" s="23">
        <v>0</v>
      </c>
      <c r="U79" s="23">
        <v>1330.6389528100001</v>
      </c>
      <c r="V79" s="23">
        <v>543.86994430100003</v>
      </c>
      <c r="W79" s="23">
        <v>0</v>
      </c>
      <c r="X79" s="22">
        <v>3.1771759287199997E-3</v>
      </c>
      <c r="Y79" s="22">
        <v>1.2276800530899999E-3</v>
      </c>
      <c r="Z79" s="22">
        <v>0</v>
      </c>
      <c r="AA79" s="22">
        <v>0.11835663859699999</v>
      </c>
      <c r="AB79" s="22">
        <v>4.6396726481700006E-2</v>
      </c>
      <c r="AC79" s="22">
        <v>0</v>
      </c>
      <c r="AD79" s="21">
        <v>0.55359665717699991</v>
      </c>
      <c r="AE79" s="21">
        <v>25.294933125999997</v>
      </c>
      <c r="AF79" s="21">
        <v>9.8712582878799999</v>
      </c>
      <c r="AG79" s="21">
        <v>18.9890936352</v>
      </c>
      <c r="AH79" s="21">
        <v>1311.6498598599999</v>
      </c>
      <c r="AI79" s="21">
        <v>0</v>
      </c>
      <c r="AJ79" s="21">
        <v>0.222589808725</v>
      </c>
      <c r="AK79" s="21">
        <v>10.2054660275</v>
      </c>
      <c r="AL79" s="21">
        <v>3.96300866223</v>
      </c>
      <c r="AM79" s="21">
        <v>7.7613820449500004</v>
      </c>
      <c r="AN79" s="21">
        <v>536.10856187100001</v>
      </c>
      <c r="AO79" s="21">
        <v>0</v>
      </c>
      <c r="AP79" s="22">
        <v>1.8988801607700003E-5</v>
      </c>
      <c r="AQ79" s="22">
        <v>8.7061294899100003E-4</v>
      </c>
      <c r="AR79" s="22">
        <v>3.3807830364200001E-4</v>
      </c>
      <c r="AS79" s="22">
        <v>4.9240884898800004E-5</v>
      </c>
      <c r="AT79" s="22">
        <v>2.24991403685E-3</v>
      </c>
      <c r="AU79" s="22">
        <v>8.7802100474300003E-4</v>
      </c>
      <c r="AV79" s="22">
        <v>1.68902713138E-3</v>
      </c>
      <c r="AW79" s="22">
        <v>0.116667611231</v>
      </c>
      <c r="AX79" s="22">
        <v>0</v>
      </c>
      <c r="AY79" s="22">
        <v>6.6211182293899999E-4</v>
      </c>
      <c r="AZ79" s="22">
        <v>4.5734614602900001E-2</v>
      </c>
      <c r="BA79" s="22">
        <v>0</v>
      </c>
      <c r="BB79" s="7">
        <v>13317.9394304</v>
      </c>
      <c r="BC79" s="1">
        <v>0.45133016928999997</v>
      </c>
      <c r="BD79" s="9">
        <v>0.38</v>
      </c>
      <c r="BE79" s="9">
        <v>0.60099999999999998</v>
      </c>
      <c r="BF79" s="10">
        <v>1.9E-2</v>
      </c>
      <c r="BG79" s="11">
        <v>-24.4220406984</v>
      </c>
      <c r="BH79" s="15">
        <v>284.11111111111109</v>
      </c>
      <c r="BI79" s="20">
        <v>1.0809523809523809</v>
      </c>
      <c r="BJ79" s="15">
        <v>307.11058201058199</v>
      </c>
      <c r="BK79" s="13">
        <f t="shared" si="39"/>
        <v>23165120.064445224</v>
      </c>
      <c r="BL79" s="13">
        <f t="shared" si="30"/>
        <v>2219201621.2755551</v>
      </c>
      <c r="BM79" s="14">
        <v>1.033065628265702</v>
      </c>
      <c r="BN79" s="14">
        <v>98.966934371734311</v>
      </c>
      <c r="BO79" s="16">
        <v>0.40136310395314789</v>
      </c>
      <c r="BP79" s="16">
        <v>0.14731349090148504</v>
      </c>
      <c r="BQ79" s="16">
        <v>0.58384772727272738</v>
      </c>
      <c r="BR79" s="16">
        <v>0.20786218181818181</v>
      </c>
      <c r="BS79" s="16">
        <v>1.8945454545454547E-2</v>
      </c>
      <c r="BT79" s="16">
        <v>12.83181818181818</v>
      </c>
      <c r="BU79" s="16">
        <v>14.638181818181819</v>
      </c>
      <c r="BV79" s="16">
        <v>1.8945454545454548</v>
      </c>
      <c r="BW79" s="16">
        <f>BT79*5.66</f>
        <v>72.628090909090901</v>
      </c>
      <c r="BX79" s="16">
        <f>BU79*1.36</f>
        <v>19.907927272727274</v>
      </c>
      <c r="BY79" s="16">
        <f>BV79*1.36</f>
        <v>2.5765818181818188</v>
      </c>
      <c r="BZ79" s="16">
        <v>2.96E-3</v>
      </c>
      <c r="CA79" s="16">
        <f t="shared" si="31"/>
        <v>15.81686571428571</v>
      </c>
      <c r="CB79" s="9">
        <f t="shared" si="32"/>
        <v>27.627160322108345</v>
      </c>
      <c r="CC79" s="16">
        <f t="shared" si="33"/>
        <v>0.3339608600292826</v>
      </c>
      <c r="CD79" s="16">
        <f t="shared" si="34"/>
        <v>1.0884298440702782</v>
      </c>
      <c r="CE79" s="17">
        <f t="shared" si="35"/>
        <v>29.049551026207908</v>
      </c>
      <c r="CF79" s="9">
        <f t="shared" si="36"/>
        <v>13.994781635641079</v>
      </c>
      <c r="CG79" s="18">
        <v>5700909.0909090908</v>
      </c>
      <c r="CH79" s="9">
        <f t="shared" si="37"/>
        <v>7.7494279197245826</v>
      </c>
      <c r="CI79" s="9">
        <f t="shared" si="38"/>
        <v>0.87779062692430976</v>
      </c>
      <c r="CJ79" s="5">
        <v>5.2407731338830663</v>
      </c>
      <c r="CK79" s="5">
        <v>42.161735275532237</v>
      </c>
      <c r="CL79" s="5">
        <v>45.192907514316317</v>
      </c>
    </row>
    <row r="80" spans="1:90" x14ac:dyDescent="0.25">
      <c r="A80" s="2" t="s">
        <v>236</v>
      </c>
      <c r="B80" s="1" t="s">
        <v>78</v>
      </c>
      <c r="C80" s="1" t="s">
        <v>321</v>
      </c>
      <c r="D80" s="1" t="s">
        <v>350</v>
      </c>
      <c r="E80" s="1" t="s">
        <v>344</v>
      </c>
      <c r="F80" s="21">
        <v>231.77648895199999</v>
      </c>
      <c r="G80" s="22">
        <v>1.8192213835700001E-2</v>
      </c>
      <c r="H80" s="22">
        <v>4.5001149092399998E-5</v>
      </c>
      <c r="I80" s="22">
        <v>8733203299.5900002</v>
      </c>
      <c r="J80" s="22">
        <v>1028883.81677</v>
      </c>
      <c r="K80" s="22">
        <f t="shared" si="27"/>
        <v>0.22526983627716254</v>
      </c>
      <c r="L80" s="22">
        <f t="shared" si="28"/>
        <v>0.17681504499517994</v>
      </c>
      <c r="M80" s="22">
        <f t="shared" si="29"/>
        <v>8.4880364111531641</v>
      </c>
      <c r="N80" s="21">
        <v>231.77648895199999</v>
      </c>
      <c r="O80" s="21">
        <v>0</v>
      </c>
      <c r="P80" s="22">
        <v>1.8192213835700001E-2</v>
      </c>
      <c r="Q80" s="22">
        <v>0</v>
      </c>
      <c r="R80" s="23">
        <v>190.63916998600001</v>
      </c>
      <c r="S80" s="23">
        <v>41.137319208299999</v>
      </c>
      <c r="T80" s="23">
        <v>0</v>
      </c>
      <c r="U80" s="23">
        <v>0</v>
      </c>
      <c r="V80" s="23">
        <v>0</v>
      </c>
      <c r="W80" s="23">
        <v>0</v>
      </c>
      <c r="X80" s="22">
        <v>1.6956824644299998E-2</v>
      </c>
      <c r="Y80" s="22">
        <v>1.2353892463100001E-3</v>
      </c>
      <c r="Z80" s="22">
        <v>0</v>
      </c>
      <c r="AA80" s="22">
        <v>0</v>
      </c>
      <c r="AB80" s="22">
        <v>0</v>
      </c>
      <c r="AC80" s="22">
        <v>0</v>
      </c>
      <c r="AD80" s="21">
        <v>0</v>
      </c>
      <c r="AE80" s="21">
        <v>0</v>
      </c>
      <c r="AF80" s="21">
        <v>190.63917000999999</v>
      </c>
      <c r="AG80" s="21">
        <v>0</v>
      </c>
      <c r="AH80" s="21">
        <v>0</v>
      </c>
      <c r="AI80" s="21">
        <v>0</v>
      </c>
      <c r="AJ80" s="21">
        <v>0</v>
      </c>
      <c r="AK80" s="21">
        <v>0</v>
      </c>
      <c r="AL80" s="21">
        <v>41.137319266900001</v>
      </c>
      <c r="AM80" s="21">
        <v>0</v>
      </c>
      <c r="AN80" s="21">
        <v>0</v>
      </c>
      <c r="AO80" s="21">
        <v>0</v>
      </c>
      <c r="AP80" s="22">
        <v>0</v>
      </c>
      <c r="AQ80" s="22">
        <v>0</v>
      </c>
      <c r="AR80" s="22">
        <v>1.23538924757E-3</v>
      </c>
      <c r="AS80" s="22">
        <v>0</v>
      </c>
      <c r="AT80" s="22">
        <v>0</v>
      </c>
      <c r="AU80" s="22">
        <v>1.69568246451E-2</v>
      </c>
      <c r="AV80" s="22">
        <v>0</v>
      </c>
      <c r="AW80" s="22">
        <v>0</v>
      </c>
      <c r="AX80" s="22">
        <v>0</v>
      </c>
      <c r="AY80" s="22">
        <v>0</v>
      </c>
      <c r="AZ80" s="22">
        <v>0</v>
      </c>
      <c r="BA80" s="22">
        <v>0</v>
      </c>
      <c r="BB80" s="7">
        <v>16.818846213499999</v>
      </c>
      <c r="BC80" s="1">
        <v>9.2970843877600003E-4</v>
      </c>
      <c r="BD80" s="9">
        <v>1</v>
      </c>
      <c r="BE80" s="9">
        <v>0</v>
      </c>
      <c r="BF80" s="10">
        <v>0</v>
      </c>
      <c r="BG80" s="11">
        <v>-58.4327238893</v>
      </c>
      <c r="BH80" s="15">
        <v>108.11111111111111</v>
      </c>
      <c r="BI80" s="20">
        <v>1</v>
      </c>
      <c r="BJ80" s="15">
        <v>108.11111111111111</v>
      </c>
      <c r="BK80" s="13">
        <f t="shared" si="39"/>
        <v>86721342.603782147</v>
      </c>
      <c r="BL80" s="13">
        <f t="shared" si="30"/>
        <v>8646481956.9862175</v>
      </c>
      <c r="BM80" s="14">
        <v>0.9930072578048591</v>
      </c>
      <c r="BN80" s="14">
        <v>99.006992742195138</v>
      </c>
      <c r="BO80" s="16">
        <v>2.9696867566331195</v>
      </c>
      <c r="BP80" s="16">
        <v>1.0899729414455626</v>
      </c>
      <c r="BQ80" s="16">
        <v>0.83885454545454541</v>
      </c>
      <c r="BR80" s="16">
        <v>1.8246999999999996E-2</v>
      </c>
      <c r="BS80" s="16">
        <v>1.3124999999999999E-3</v>
      </c>
      <c r="BT80" s="16">
        <v>18.436363636363637</v>
      </c>
      <c r="BU80" s="16">
        <v>1.2849999999999997</v>
      </c>
      <c r="BV80" s="16">
        <v>0.13125000000000001</v>
      </c>
      <c r="BW80" s="16">
        <f>BT80*4</f>
        <v>73.74545454545455</v>
      </c>
      <c r="BX80" s="16">
        <f>BU80*1.29</f>
        <v>1.6576499999999996</v>
      </c>
      <c r="BY80" s="16">
        <f>BV80*1.47</f>
        <v>0.19293750000000001</v>
      </c>
      <c r="BZ80" s="16">
        <v>2.66E-3</v>
      </c>
      <c r="CA80" s="16">
        <f t="shared" si="31"/>
        <v>20.421960000000002</v>
      </c>
      <c r="CB80" s="9">
        <f t="shared" si="32"/>
        <v>204.41343841491306</v>
      </c>
      <c r="CC80" s="16">
        <f t="shared" si="33"/>
        <v>2.4709773606358647</v>
      </c>
      <c r="CD80" s="16">
        <f t="shared" si="34"/>
        <v>8.0532955361962486</v>
      </c>
      <c r="CE80" s="17">
        <f t="shared" si="35"/>
        <v>214.93771131174518</v>
      </c>
      <c r="CF80" s="9">
        <f t="shared" si="36"/>
        <v>103.54742943732845</v>
      </c>
      <c r="CG80" s="18">
        <v>1380027.2727272727</v>
      </c>
      <c r="CH80" s="9">
        <f t="shared" si="37"/>
        <v>6.7870758953597674</v>
      </c>
      <c r="CI80" s="9">
        <f t="shared" si="38"/>
        <v>0.57202564168761594</v>
      </c>
      <c r="CJ80" s="5">
        <v>0</v>
      </c>
      <c r="CK80" s="5">
        <v>0</v>
      </c>
      <c r="CL80" s="5">
        <v>0</v>
      </c>
    </row>
    <row r="81" spans="1:90" x14ac:dyDescent="0.25">
      <c r="A81" s="2" t="s">
        <v>237</v>
      </c>
      <c r="B81" s="1" t="s">
        <v>79</v>
      </c>
      <c r="C81" s="1" t="s">
        <v>321</v>
      </c>
      <c r="D81" s="1" t="s">
        <v>342</v>
      </c>
      <c r="E81" s="1" t="s">
        <v>337</v>
      </c>
      <c r="F81" s="21">
        <v>9.0970326147300007</v>
      </c>
      <c r="G81" s="22">
        <v>9.6497755621999996E-4</v>
      </c>
      <c r="H81" s="22">
        <v>8.8945567607899997E-7</v>
      </c>
      <c r="I81" s="22">
        <v>4297512686.4099998</v>
      </c>
      <c r="J81" s="22">
        <v>541241.17852800002</v>
      </c>
      <c r="K81" s="22">
        <f t="shared" si="27"/>
        <v>1.680772449626056E-2</v>
      </c>
      <c r="L81" s="22">
        <f t="shared" si="28"/>
        <v>1.7828975224029056E-2</v>
      </c>
      <c r="M81" s="22">
        <f t="shared" si="29"/>
        <v>7.9401066602098469</v>
      </c>
      <c r="N81" s="21">
        <v>9.0970326147300007</v>
      </c>
      <c r="O81" s="21">
        <v>0</v>
      </c>
      <c r="P81" s="22">
        <v>9.6497755621999996E-4</v>
      </c>
      <c r="Q81" s="22">
        <v>0</v>
      </c>
      <c r="R81" s="23">
        <v>7.95866959537</v>
      </c>
      <c r="S81" s="23">
        <v>1.1383631812599999</v>
      </c>
      <c r="T81" s="23">
        <v>0</v>
      </c>
      <c r="U81" s="23">
        <v>0</v>
      </c>
      <c r="V81" s="23">
        <v>0</v>
      </c>
      <c r="W81" s="23">
        <v>0</v>
      </c>
      <c r="X81" s="22">
        <v>7.0790154321399997E-4</v>
      </c>
      <c r="Y81" s="22">
        <v>2.57076013999E-4</v>
      </c>
      <c r="Z81" s="22">
        <v>0</v>
      </c>
      <c r="AA81" s="22">
        <v>0</v>
      </c>
      <c r="AB81" s="22">
        <v>0</v>
      </c>
      <c r="AC81" s="22">
        <v>0</v>
      </c>
      <c r="AD81" s="21">
        <v>0</v>
      </c>
      <c r="AE81" s="21">
        <v>0</v>
      </c>
      <c r="AF81" s="21">
        <v>7.9586696015600005</v>
      </c>
      <c r="AG81" s="21">
        <v>0</v>
      </c>
      <c r="AH81" s="21">
        <v>0</v>
      </c>
      <c r="AI81" s="21">
        <v>0</v>
      </c>
      <c r="AJ81" s="21">
        <v>0</v>
      </c>
      <c r="AK81" s="21">
        <v>0</v>
      </c>
      <c r="AL81" s="21">
        <v>1.1383631731199999</v>
      </c>
      <c r="AM81" s="21">
        <v>0</v>
      </c>
      <c r="AN81" s="21">
        <v>0</v>
      </c>
      <c r="AO81" s="21">
        <v>0</v>
      </c>
      <c r="AP81" s="22">
        <v>0</v>
      </c>
      <c r="AQ81" s="22">
        <v>0</v>
      </c>
      <c r="AR81" s="22">
        <v>2.5707601430500002E-4</v>
      </c>
      <c r="AS81" s="22">
        <v>0</v>
      </c>
      <c r="AT81" s="22">
        <v>0</v>
      </c>
      <c r="AU81" s="22">
        <v>7.07901550949E-4</v>
      </c>
      <c r="AV81" s="22">
        <v>0</v>
      </c>
      <c r="AW81" s="22">
        <v>0</v>
      </c>
      <c r="AX81" s="22">
        <v>0</v>
      </c>
      <c r="AY81" s="22">
        <v>0</v>
      </c>
      <c r="AZ81" s="22">
        <v>0</v>
      </c>
      <c r="BA81" s="22">
        <v>0</v>
      </c>
      <c r="BB81" s="7">
        <v>0.143136233615</v>
      </c>
      <c r="BC81" s="1">
        <v>7.9917730572599996E-6</v>
      </c>
      <c r="BD81" s="9">
        <v>1</v>
      </c>
      <c r="BE81" s="9">
        <v>0</v>
      </c>
      <c r="BF81" s="10">
        <v>0</v>
      </c>
      <c r="BG81" s="11">
        <v>-7.2805457370599997</v>
      </c>
      <c r="BH81" s="15">
        <v>806.88888888888891</v>
      </c>
      <c r="BI81" s="20">
        <v>1.0075566750629723</v>
      </c>
      <c r="BJ81" s="15">
        <v>812.986286034145</v>
      </c>
      <c r="BK81" s="13">
        <f t="shared" si="39"/>
        <v>11229067.467012748</v>
      </c>
      <c r="BL81" s="13">
        <f t="shared" si="30"/>
        <v>4286283618.942987</v>
      </c>
      <c r="BM81" s="14">
        <v>0.26129224708335047</v>
      </c>
      <c r="BN81" s="14">
        <v>99.738707752916653</v>
      </c>
      <c r="BO81" s="16">
        <v>5.9061704063068529E-2</v>
      </c>
      <c r="BP81" s="16">
        <v>2.1677592480291084E-2</v>
      </c>
      <c r="BQ81" s="16">
        <v>0.13877500000000001</v>
      </c>
      <c r="BR81" s="16">
        <v>8.7582444444444463E-2</v>
      </c>
      <c r="BS81" s="16">
        <v>2.4888888888888894E-3</v>
      </c>
      <c r="BT81" s="16">
        <v>3.05</v>
      </c>
      <c r="BU81" s="16">
        <v>6.1677777777777782</v>
      </c>
      <c r="BV81" s="16">
        <v>0.24888888888888891</v>
      </c>
      <c r="BW81" s="16">
        <f>BT81*4</f>
        <v>12.2</v>
      </c>
      <c r="BX81" s="16">
        <f>BU81*1.29</f>
        <v>7.9564333333333339</v>
      </c>
      <c r="BY81" s="16">
        <f>BV81*1.47</f>
        <v>0.36586666666666667</v>
      </c>
      <c r="BZ81" s="16">
        <v>6.4999999999999997E-3</v>
      </c>
      <c r="CA81" s="16">
        <f t="shared" si="31"/>
        <v>8.2556964285714276</v>
      </c>
      <c r="CB81" s="9">
        <f t="shared" si="32"/>
        <v>4.0654139630078836</v>
      </c>
      <c r="CC81" s="16">
        <f t="shared" si="33"/>
        <v>4.9143275227410556E-2</v>
      </c>
      <c r="CD81" s="16">
        <f t="shared" si="34"/>
        <v>0.160165497801698</v>
      </c>
      <c r="CE81" s="17">
        <f t="shared" si="35"/>
        <v>4.2747227360369919</v>
      </c>
      <c r="CF81" s="9">
        <f t="shared" si="36"/>
        <v>2.0593712856276531</v>
      </c>
      <c r="CG81" s="18">
        <v>3860090.9090909092</v>
      </c>
      <c r="CH81" s="9">
        <f t="shared" si="37"/>
        <v>1.1950286754722055</v>
      </c>
      <c r="CI81" s="9">
        <f t="shared" si="38"/>
        <v>0.135535861146134</v>
      </c>
      <c r="CJ81" s="5">
        <v>55.930431166286098</v>
      </c>
      <c r="CK81" s="5">
        <v>0</v>
      </c>
      <c r="CL81" s="5">
        <v>55.930431166286098</v>
      </c>
    </row>
    <row r="82" spans="1:90" x14ac:dyDescent="0.25">
      <c r="A82" s="2" t="s">
        <v>238</v>
      </c>
      <c r="B82" s="1" t="s">
        <v>80</v>
      </c>
      <c r="C82" s="1" t="s">
        <v>321</v>
      </c>
      <c r="D82" s="1" t="s">
        <v>347</v>
      </c>
      <c r="E82" s="1" t="s">
        <v>348</v>
      </c>
      <c r="F82" s="21">
        <v>1120.2571476999999</v>
      </c>
      <c r="G82" s="22">
        <v>0.13194112281100001</v>
      </c>
      <c r="H82" s="22">
        <v>1.3121503307499999E-3</v>
      </c>
      <c r="I82" s="22">
        <v>13155898148.6</v>
      </c>
      <c r="J82" s="22">
        <v>766893.67234100006</v>
      </c>
      <c r="K82" s="22">
        <f t="shared" si="27"/>
        <v>1.4607724487807177</v>
      </c>
      <c r="L82" s="22">
        <f t="shared" si="28"/>
        <v>1.7204617480835369</v>
      </c>
      <c r="M82" s="22">
        <f t="shared" si="29"/>
        <v>17.154787714495857</v>
      </c>
      <c r="N82" s="21">
        <v>1120.2571476999999</v>
      </c>
      <c r="O82" s="21">
        <v>0</v>
      </c>
      <c r="P82" s="22">
        <v>0.13194112281100001</v>
      </c>
      <c r="Q82" s="22">
        <v>0</v>
      </c>
      <c r="R82" s="23">
        <v>478.31610530400002</v>
      </c>
      <c r="S82" s="23">
        <v>641.94104192899999</v>
      </c>
      <c r="T82" s="23">
        <v>0</v>
      </c>
      <c r="U82" s="23">
        <v>0</v>
      </c>
      <c r="V82" s="23">
        <v>0</v>
      </c>
      <c r="W82" s="23">
        <v>0</v>
      </c>
      <c r="X82" s="22">
        <v>4.2544888850199997E-2</v>
      </c>
      <c r="Y82" s="22">
        <v>8.9396234038700007E-2</v>
      </c>
      <c r="Z82" s="22">
        <v>0</v>
      </c>
      <c r="AA82" s="22">
        <v>0</v>
      </c>
      <c r="AB82" s="22">
        <v>0</v>
      </c>
      <c r="AC82" s="22">
        <v>0</v>
      </c>
      <c r="AD82" s="21">
        <v>0</v>
      </c>
      <c r="AE82" s="21">
        <v>0</v>
      </c>
      <c r="AF82" s="21">
        <v>478.31610591600003</v>
      </c>
      <c r="AG82" s="21">
        <v>0</v>
      </c>
      <c r="AH82" s="21">
        <v>0</v>
      </c>
      <c r="AI82" s="21">
        <v>0</v>
      </c>
      <c r="AJ82" s="21">
        <v>0</v>
      </c>
      <c r="AK82" s="21">
        <v>0</v>
      </c>
      <c r="AL82" s="21">
        <v>641.94104288900007</v>
      </c>
      <c r="AM82" s="21">
        <v>0</v>
      </c>
      <c r="AN82" s="21">
        <v>0</v>
      </c>
      <c r="AO82" s="21">
        <v>0</v>
      </c>
      <c r="AP82" s="22">
        <v>0</v>
      </c>
      <c r="AQ82" s="22">
        <v>0</v>
      </c>
      <c r="AR82" s="22">
        <v>8.9396234030899996E-2</v>
      </c>
      <c r="AS82" s="22">
        <v>0</v>
      </c>
      <c r="AT82" s="22">
        <v>0</v>
      </c>
      <c r="AU82" s="22">
        <v>4.2544888845000003E-2</v>
      </c>
      <c r="AV82" s="22">
        <v>0</v>
      </c>
      <c r="AW82" s="22">
        <v>0</v>
      </c>
      <c r="AX82" s="22">
        <v>0</v>
      </c>
      <c r="AY82" s="22">
        <v>0</v>
      </c>
      <c r="AZ82" s="22">
        <v>0</v>
      </c>
      <c r="BA82" s="22">
        <v>0</v>
      </c>
      <c r="BB82" s="7">
        <v>43.612736343400002</v>
      </c>
      <c r="BC82" s="1">
        <v>2.4350444427699998E-3</v>
      </c>
      <c r="BD82" s="9">
        <v>1</v>
      </c>
      <c r="BE82" s="9">
        <v>0</v>
      </c>
      <c r="BF82" s="10">
        <v>0</v>
      </c>
      <c r="BG82" s="11">
        <v>-30.303211845900002</v>
      </c>
      <c r="BH82" s="15">
        <v>501.33333333333331</v>
      </c>
      <c r="BI82" s="20">
        <v>1</v>
      </c>
      <c r="BJ82" s="15">
        <v>501.33333333333331</v>
      </c>
      <c r="BK82" s="13">
        <f t="shared" si="39"/>
        <v>741324604.86319077</v>
      </c>
      <c r="BL82" s="13">
        <f t="shared" si="30"/>
        <v>12414573543.736809</v>
      </c>
      <c r="BM82" s="14">
        <v>5.6349220440117174</v>
      </c>
      <c r="BN82" s="14">
        <v>94.365077955988284</v>
      </c>
      <c r="BO82" s="16">
        <v>14.164842922333571</v>
      </c>
      <c r="BP82" s="16">
        <v>5.1989643253400137</v>
      </c>
      <c r="BQ82" s="16">
        <v>8.3655059090909081</v>
      </c>
      <c r="BR82" s="16">
        <v>1.1180821818181819</v>
      </c>
      <c r="BS82" s="16">
        <v>0.92916363636363641</v>
      </c>
      <c r="BT82" s="5">
        <v>183.85727272727271</v>
      </c>
      <c r="BU82" s="5">
        <v>78.738181818181829</v>
      </c>
      <c r="BV82" s="5">
        <v>92.916363636363656</v>
      </c>
      <c r="BW82" s="16">
        <f>BT82*4</f>
        <v>735.42909090909086</v>
      </c>
      <c r="BX82" s="16">
        <f>BU82*1.29</f>
        <v>101.57225454545456</v>
      </c>
      <c r="BY82" s="16">
        <f>BV82*1.47</f>
        <v>136.58705454545458</v>
      </c>
      <c r="BZ82" s="16">
        <v>6.4999999999999997E-3</v>
      </c>
      <c r="CA82" s="16">
        <f t="shared" si="31"/>
        <v>497.66223928571429</v>
      </c>
      <c r="CB82" s="9">
        <f t="shared" si="32"/>
        <v>975.01335448729412</v>
      </c>
      <c r="CC82" s="16">
        <f t="shared" si="33"/>
        <v>11.78609363424302</v>
      </c>
      <c r="CD82" s="16">
        <f t="shared" si="34"/>
        <v>38.412693198214924</v>
      </c>
      <c r="CE82" s="17">
        <f t="shared" si="35"/>
        <v>1025.2121413197519</v>
      </c>
      <c r="CF82" s="9">
        <f t="shared" si="36"/>
        <v>493.90161090730129</v>
      </c>
      <c r="CG82" s="18">
        <v>1815363.6363636362</v>
      </c>
      <c r="CH82" s="9">
        <f t="shared" si="37"/>
        <v>54.055282379154804</v>
      </c>
      <c r="CI82" s="9">
        <f t="shared" si="38"/>
        <v>5.4285987758289505</v>
      </c>
      <c r="CJ82" s="5">
        <v>36.983559688637349</v>
      </c>
      <c r="CK82" s="5">
        <v>0</v>
      </c>
      <c r="CL82" s="5">
        <v>36.983559688637357</v>
      </c>
    </row>
    <row r="83" spans="1:90" x14ac:dyDescent="0.25">
      <c r="A83" s="2" t="s">
        <v>239</v>
      </c>
      <c r="B83" s="1" t="s">
        <v>81</v>
      </c>
      <c r="C83" s="1" t="s">
        <v>321</v>
      </c>
      <c r="D83" s="1" t="s">
        <v>335</v>
      </c>
      <c r="E83" s="1" t="s">
        <v>329</v>
      </c>
      <c r="F83" s="21">
        <v>261.89989790099997</v>
      </c>
      <c r="G83" s="22">
        <v>5.2459289173600002E-2</v>
      </c>
      <c r="H83" s="22">
        <v>2.97869873047E-5</v>
      </c>
      <c r="I83" s="22">
        <v>278485718.76999998</v>
      </c>
      <c r="J83" s="22">
        <v>7696.0436339400003</v>
      </c>
      <c r="K83" s="22">
        <f t="shared" si="27"/>
        <v>34.030459071984232</v>
      </c>
      <c r="L83" s="22">
        <f t="shared" si="28"/>
        <v>68.16397056567024</v>
      </c>
      <c r="M83" s="22">
        <f t="shared" si="29"/>
        <v>36.185569107464751</v>
      </c>
      <c r="N83" s="21">
        <v>261.89989790099997</v>
      </c>
      <c r="O83" s="21">
        <v>0</v>
      </c>
      <c r="P83" s="22">
        <v>5.2459289173600002E-2</v>
      </c>
      <c r="Q83" s="22">
        <v>0</v>
      </c>
      <c r="R83" s="23">
        <v>37.086777094399999</v>
      </c>
      <c r="S83" s="23">
        <v>224.813123257</v>
      </c>
      <c r="T83" s="23">
        <v>0</v>
      </c>
      <c r="U83" s="23">
        <v>0</v>
      </c>
      <c r="V83" s="23">
        <v>0</v>
      </c>
      <c r="W83" s="23">
        <v>0</v>
      </c>
      <c r="X83" s="22">
        <v>3.2987658022400001E-3</v>
      </c>
      <c r="Y83" s="22">
        <v>4.9160523159399998E-2</v>
      </c>
      <c r="Z83" s="22">
        <v>0</v>
      </c>
      <c r="AA83" s="22">
        <v>0</v>
      </c>
      <c r="AB83" s="22">
        <v>0</v>
      </c>
      <c r="AC83" s="22">
        <v>0</v>
      </c>
      <c r="AD83" s="21">
        <v>8.8429383449700012</v>
      </c>
      <c r="AE83" s="21">
        <v>6.3865017536600002</v>
      </c>
      <c r="AF83" s="21">
        <v>21.857336974199999</v>
      </c>
      <c r="AG83" s="21">
        <v>0</v>
      </c>
      <c r="AH83" s="21">
        <v>0</v>
      </c>
      <c r="AI83" s="21">
        <v>0</v>
      </c>
      <c r="AJ83" s="21">
        <v>53.514706631599999</v>
      </c>
      <c r="AK83" s="21">
        <v>38.5978006255</v>
      </c>
      <c r="AL83" s="21">
        <v>132.70061433200001</v>
      </c>
      <c r="AM83" s="21">
        <v>0</v>
      </c>
      <c r="AN83" s="21">
        <v>0</v>
      </c>
      <c r="AO83" s="21">
        <v>0</v>
      </c>
      <c r="AP83" s="22">
        <v>1.1702212853799999E-2</v>
      </c>
      <c r="AQ83" s="22">
        <v>8.4402906326899989E-3</v>
      </c>
      <c r="AR83" s="22">
        <v>2.9018020052799999E-2</v>
      </c>
      <c r="AS83" s="22">
        <v>7.8655480227100003E-4</v>
      </c>
      <c r="AT83" s="22">
        <v>5.6806158580700004E-4</v>
      </c>
      <c r="AU83" s="22">
        <v>1.94414940931E-3</v>
      </c>
      <c r="AV83" s="22">
        <v>0</v>
      </c>
      <c r="AW83" s="22">
        <v>0</v>
      </c>
      <c r="AX83" s="22">
        <v>0</v>
      </c>
      <c r="AY83" s="22">
        <v>0</v>
      </c>
      <c r="AZ83" s="22">
        <v>0</v>
      </c>
      <c r="BA83" s="22">
        <v>0</v>
      </c>
      <c r="BB83" s="7">
        <v>16.4572989941</v>
      </c>
      <c r="BC83" s="1">
        <v>5.8057693862900001E-4</v>
      </c>
      <c r="BD83" s="9">
        <v>0.63300000000000001</v>
      </c>
      <c r="BE83" s="9">
        <v>0.126</v>
      </c>
      <c r="BF83" s="10">
        <v>0.24099999999999999</v>
      </c>
      <c r="BG83" s="11">
        <v>-19.518024411500001</v>
      </c>
      <c r="BH83" s="15">
        <v>787.22222222222217</v>
      </c>
      <c r="BI83" s="20">
        <v>1</v>
      </c>
      <c r="BJ83" s="15">
        <v>787.22222222222217</v>
      </c>
      <c r="BK83" s="13">
        <f t="shared" si="39"/>
        <v>278485718.76999998</v>
      </c>
      <c r="BL83" s="13">
        <f t="shared" si="30"/>
        <v>0</v>
      </c>
      <c r="BM83" s="14">
        <v>100</v>
      </c>
      <c r="BN83" s="14">
        <v>0</v>
      </c>
      <c r="BO83" s="16">
        <v>0.97319444444444447</v>
      </c>
      <c r="BP83" s="16">
        <v>0.35719444444444443</v>
      </c>
      <c r="BQ83" s="16">
        <v>3.0201245454545447</v>
      </c>
      <c r="BR83" s="16">
        <v>0.53846399999999994</v>
      </c>
      <c r="BS83" s="16">
        <v>0.45228888888888885</v>
      </c>
      <c r="BT83" s="16">
        <v>66.376363636363635</v>
      </c>
      <c r="BU83" s="16">
        <v>37.92</v>
      </c>
      <c r="BV83" s="16">
        <v>45.228888888888889</v>
      </c>
      <c r="BW83" s="16">
        <f>BT83*4</f>
        <v>265.50545454545454</v>
      </c>
      <c r="BX83" s="16">
        <f>BU83*1.29</f>
        <v>48.916800000000002</v>
      </c>
      <c r="BY83" s="16">
        <f>BV83*1.47</f>
        <v>66.486466666666672</v>
      </c>
      <c r="BZ83" s="16">
        <v>8.5599999999999999E-3</v>
      </c>
      <c r="CA83" s="16">
        <f t="shared" si="31"/>
        <v>236.60708228571428</v>
      </c>
      <c r="CB83" s="9">
        <f t="shared" si="32"/>
        <v>66.988217592592591</v>
      </c>
      <c r="CC83" s="16">
        <f t="shared" si="33"/>
        <v>0.80976265740740749</v>
      </c>
      <c r="CD83" s="16">
        <f t="shared" si="34"/>
        <v>2.6391411342592597</v>
      </c>
      <c r="CE83" s="17">
        <f t="shared" si="35"/>
        <v>70.437121384259257</v>
      </c>
      <c r="CF83" s="9">
        <f t="shared" si="36"/>
        <v>33.933472222222221</v>
      </c>
      <c r="CG83" s="18">
        <v>14590.909090909092</v>
      </c>
      <c r="CH83" s="9">
        <f t="shared" si="37"/>
        <v>7.7933931352617072E-2</v>
      </c>
      <c r="CI83" s="9">
        <f t="shared" si="38"/>
        <v>1.0532978794112991E-2</v>
      </c>
      <c r="CJ83" s="5">
        <v>54.425985811855526</v>
      </c>
      <c r="CK83" s="5">
        <v>15.425920599109313</v>
      </c>
      <c r="CL83" s="5">
        <v>61.456197054345509</v>
      </c>
    </row>
    <row r="84" spans="1:90" x14ac:dyDescent="0.25">
      <c r="A84" s="2" t="s">
        <v>240</v>
      </c>
      <c r="B84" s="1" t="s">
        <v>82</v>
      </c>
      <c r="C84" s="1" t="s">
        <v>321</v>
      </c>
      <c r="D84" s="1" t="s">
        <v>342</v>
      </c>
      <c r="E84" s="1" t="s">
        <v>337</v>
      </c>
      <c r="F84" s="21">
        <v>13.958443046699999</v>
      </c>
      <c r="G84" s="22">
        <v>1.0410353108500001E-3</v>
      </c>
      <c r="H84" s="22">
        <v>1.3634351249800001E-6</v>
      </c>
      <c r="I84" s="22">
        <v>2978281846.8699999</v>
      </c>
      <c r="J84" s="22">
        <v>307652.44818800001</v>
      </c>
      <c r="K84" s="22">
        <f t="shared" si="27"/>
        <v>4.5370817391221556E-2</v>
      </c>
      <c r="L84" s="22">
        <f t="shared" si="28"/>
        <v>3.3838031095850242E-2</v>
      </c>
      <c r="M84" s="22">
        <f t="shared" si="29"/>
        <v>9.6806700691360454</v>
      </c>
      <c r="N84" s="21">
        <v>13.958443046699999</v>
      </c>
      <c r="O84" s="21">
        <v>0</v>
      </c>
      <c r="P84" s="22">
        <v>1.0410353108500001E-3</v>
      </c>
      <c r="Q84" s="22">
        <v>0</v>
      </c>
      <c r="R84" s="23">
        <v>11.3116017136</v>
      </c>
      <c r="S84" s="23">
        <v>2.6468411397799998</v>
      </c>
      <c r="T84" s="23">
        <v>0</v>
      </c>
      <c r="U84" s="23">
        <v>0</v>
      </c>
      <c r="V84" s="23">
        <v>0</v>
      </c>
      <c r="W84" s="23">
        <v>0</v>
      </c>
      <c r="X84" s="22">
        <v>1.0061355626299999E-3</v>
      </c>
      <c r="Y84" s="22">
        <v>3.4899736220399998E-5</v>
      </c>
      <c r="Z84" s="22">
        <v>0</v>
      </c>
      <c r="AA84" s="22">
        <v>0</v>
      </c>
      <c r="AB84" s="22">
        <v>0</v>
      </c>
      <c r="AC84" s="22">
        <v>0</v>
      </c>
      <c r="AD84" s="21">
        <v>0</v>
      </c>
      <c r="AE84" s="21">
        <v>0</v>
      </c>
      <c r="AF84" s="21">
        <v>11.311601716</v>
      </c>
      <c r="AG84" s="21">
        <v>0</v>
      </c>
      <c r="AH84" s="21">
        <v>0</v>
      </c>
      <c r="AI84" s="21">
        <v>0</v>
      </c>
      <c r="AJ84" s="21">
        <v>0</v>
      </c>
      <c r="AK84" s="21">
        <v>0</v>
      </c>
      <c r="AL84" s="21">
        <v>2.6468411304999999</v>
      </c>
      <c r="AM84" s="21">
        <v>0</v>
      </c>
      <c r="AN84" s="21">
        <v>0</v>
      </c>
      <c r="AO84" s="21">
        <v>0</v>
      </c>
      <c r="AP84" s="22">
        <v>0</v>
      </c>
      <c r="AQ84" s="22">
        <v>0</v>
      </c>
      <c r="AR84" s="22">
        <v>3.4899736376100002E-5</v>
      </c>
      <c r="AS84" s="22">
        <v>0</v>
      </c>
      <c r="AT84" s="22">
        <v>0</v>
      </c>
      <c r="AU84" s="22">
        <v>1.0061355614000001E-3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7">
        <v>2.33223996636</v>
      </c>
      <c r="BC84" s="1">
        <v>1.3021673180900001E-4</v>
      </c>
      <c r="BD84" s="9">
        <v>1</v>
      </c>
      <c r="BE84" s="9">
        <v>0</v>
      </c>
      <c r="BF84" s="10">
        <v>0</v>
      </c>
      <c r="BG84" s="11">
        <v>-34.284578481200001</v>
      </c>
      <c r="BH84" s="12">
        <v>47.467545450000003</v>
      </c>
      <c r="BI84" s="20">
        <v>1</v>
      </c>
      <c r="BJ84" s="15">
        <v>47.467545450000003</v>
      </c>
      <c r="BK84" s="13">
        <f t="shared" si="39"/>
        <v>6359535.7962986343</v>
      </c>
      <c r="BL84" s="13">
        <f t="shared" si="30"/>
        <v>2971922311.0737014</v>
      </c>
      <c r="BM84" s="14">
        <v>0.21353035485819227</v>
      </c>
      <c r="BN84" s="14">
        <v>99.786469645141807</v>
      </c>
      <c r="BO84" s="16" t="s">
        <v>390</v>
      </c>
      <c r="BP84" s="16" t="s">
        <v>390</v>
      </c>
      <c r="BQ84" s="16" t="s">
        <v>390</v>
      </c>
      <c r="BR84" s="16" t="s">
        <v>390</v>
      </c>
      <c r="BS84" s="16" t="s">
        <v>390</v>
      </c>
      <c r="BT84" s="16" t="s">
        <v>390</v>
      </c>
      <c r="BU84" s="16" t="s">
        <v>390</v>
      </c>
      <c r="BV84" s="16" t="s">
        <v>390</v>
      </c>
      <c r="BW84" s="16" t="s">
        <v>390</v>
      </c>
      <c r="BX84" s="16" t="s">
        <v>390</v>
      </c>
      <c r="BY84" s="16" t="s">
        <v>390</v>
      </c>
      <c r="BZ84" s="16" t="s">
        <v>390</v>
      </c>
      <c r="CA84" s="16" t="s">
        <v>390</v>
      </c>
      <c r="CB84" s="16" t="s">
        <v>390</v>
      </c>
      <c r="CC84" s="16" t="s">
        <v>390</v>
      </c>
      <c r="CD84" s="16" t="s">
        <v>390</v>
      </c>
      <c r="CE84" s="16" t="s">
        <v>390</v>
      </c>
      <c r="CF84" s="16" t="s">
        <v>390</v>
      </c>
      <c r="CG84" s="18">
        <v>1247727.2727272727</v>
      </c>
      <c r="CH84" s="9" t="s">
        <v>447</v>
      </c>
      <c r="CI84" s="9" t="s">
        <v>447</v>
      </c>
      <c r="CJ84" s="5">
        <v>0</v>
      </c>
      <c r="CK84" s="5">
        <v>0</v>
      </c>
      <c r="CL84" s="5">
        <v>0</v>
      </c>
    </row>
    <row r="85" spans="1:90" x14ac:dyDescent="0.25">
      <c r="A85" s="2" t="s">
        <v>241</v>
      </c>
      <c r="B85" s="1" t="s">
        <v>83</v>
      </c>
      <c r="C85" s="1" t="s">
        <v>321</v>
      </c>
      <c r="D85" s="1" t="s">
        <v>335</v>
      </c>
      <c r="E85" s="1" t="s">
        <v>329</v>
      </c>
      <c r="F85" s="21">
        <v>980.45217537899998</v>
      </c>
      <c r="G85" s="22">
        <v>0.14358899734500002</v>
      </c>
      <c r="H85" s="22">
        <v>2.11757168174E-7</v>
      </c>
      <c r="I85" s="22">
        <v>884514873.75</v>
      </c>
      <c r="J85" s="22">
        <v>102477.260241</v>
      </c>
      <c r="K85" s="22">
        <f t="shared" si="27"/>
        <v>9.5675096413900036</v>
      </c>
      <c r="L85" s="22">
        <f t="shared" si="28"/>
        <v>14.011791202000898</v>
      </c>
      <c r="M85" s="22">
        <f t="shared" si="29"/>
        <v>8.631328273900472</v>
      </c>
      <c r="N85" s="21">
        <v>833.53686340000002</v>
      </c>
      <c r="O85" s="21">
        <v>146.91531701400001</v>
      </c>
      <c r="P85" s="22">
        <v>0.12163346570400001</v>
      </c>
      <c r="Q85" s="22">
        <v>2.1955532056799999E-2</v>
      </c>
      <c r="R85" s="23">
        <v>356.860807013</v>
      </c>
      <c r="S85" s="23">
        <v>476.67605764199999</v>
      </c>
      <c r="T85" s="23">
        <v>0</v>
      </c>
      <c r="U85" s="23">
        <v>57.709727089899999</v>
      </c>
      <c r="V85" s="23">
        <v>89.205589076500004</v>
      </c>
      <c r="W85" s="23">
        <v>0</v>
      </c>
      <c r="X85" s="22">
        <v>3.1741777074099996E-2</v>
      </c>
      <c r="Y85" s="22">
        <v>8.9891687386999999E-2</v>
      </c>
      <c r="Z85" s="22">
        <v>0</v>
      </c>
      <c r="AA85" s="22">
        <v>5.1331199254999998E-3</v>
      </c>
      <c r="AB85" s="22">
        <v>1.6822411906E-2</v>
      </c>
      <c r="AC85" s="22">
        <v>0</v>
      </c>
      <c r="AD85" s="21">
        <v>28.155256818199998</v>
      </c>
      <c r="AE85" s="21">
        <v>123.32364474400001</v>
      </c>
      <c r="AF85" s="21">
        <v>205.381904537</v>
      </c>
      <c r="AG85" s="21">
        <v>7.0656278945300004</v>
      </c>
      <c r="AH85" s="21">
        <v>50.644098769500005</v>
      </c>
      <c r="AI85" s="21">
        <v>0</v>
      </c>
      <c r="AJ85" s="21">
        <v>38.372905521900002</v>
      </c>
      <c r="AK85" s="21">
        <v>164.17110008</v>
      </c>
      <c r="AL85" s="21">
        <v>274.13204853299999</v>
      </c>
      <c r="AM85" s="21">
        <v>10.9217895491</v>
      </c>
      <c r="AN85" s="21">
        <v>78.283799072299999</v>
      </c>
      <c r="AO85" s="21">
        <v>0</v>
      </c>
      <c r="AP85" s="22">
        <v>7.2363720171599996E-3</v>
      </c>
      <c r="AQ85" s="22">
        <v>3.09594265756E-2</v>
      </c>
      <c r="AR85" s="22">
        <v>5.1695889346600001E-2</v>
      </c>
      <c r="AS85" s="22">
        <v>2.50433185941E-3</v>
      </c>
      <c r="AT85" s="22">
        <v>1.0969295629200002E-2</v>
      </c>
      <c r="AU85" s="22">
        <v>1.8268149887700001E-2</v>
      </c>
      <c r="AV85" s="22">
        <v>6.2846797309399998E-4</v>
      </c>
      <c r="AW85" s="22">
        <v>4.5046519505E-3</v>
      </c>
      <c r="AX85" s="22">
        <v>0</v>
      </c>
      <c r="AY85" s="22">
        <v>2.05963378197E-3</v>
      </c>
      <c r="AZ85" s="22">
        <v>1.4762778132799999E-2</v>
      </c>
      <c r="BA85" s="22">
        <v>0</v>
      </c>
      <c r="BB85" s="7">
        <v>548.59303396899998</v>
      </c>
      <c r="BC85" s="1">
        <v>1.9353142387399998E-2</v>
      </c>
      <c r="BD85" s="9">
        <v>0.63600000000000001</v>
      </c>
      <c r="BE85" s="9">
        <v>0.27900000000000003</v>
      </c>
      <c r="BF85" s="10">
        <v>8.5000000000000006E-2</v>
      </c>
      <c r="BG85" s="11">
        <v>-52.044967873099999</v>
      </c>
      <c r="BH85" s="15">
        <v>678.88888888888891</v>
      </c>
      <c r="BI85" s="20">
        <v>1</v>
      </c>
      <c r="BJ85" s="15">
        <v>678.88888888888891</v>
      </c>
      <c r="BK85" s="13">
        <f t="shared" si="39"/>
        <v>422713473.77103168</v>
      </c>
      <c r="BL85" s="13">
        <f t="shared" si="30"/>
        <v>461801399.97896844</v>
      </c>
      <c r="BM85" s="14">
        <v>47.790431378376994</v>
      </c>
      <c r="BN85" s="14">
        <v>52.209568621623013</v>
      </c>
      <c r="BO85" s="16">
        <v>3.7111879321181647</v>
      </c>
      <c r="BP85" s="16">
        <v>1.3621283179422714</v>
      </c>
      <c r="BQ85" s="16">
        <v>3.1373077272727272</v>
      </c>
      <c r="BR85" s="16">
        <v>0.22618018181818186</v>
      </c>
      <c r="BS85" s="16">
        <v>0.29672727272727273</v>
      </c>
      <c r="BT85" s="16">
        <v>68.951818181818169</v>
      </c>
      <c r="BU85" s="16">
        <v>15.92818181818182</v>
      </c>
      <c r="BV85" s="16">
        <v>29.672727272727272</v>
      </c>
      <c r="BW85" s="16">
        <f>BT85*4</f>
        <v>275.80727272727268</v>
      </c>
      <c r="BX85" s="16">
        <f>BU85*1.29</f>
        <v>20.547354545454549</v>
      </c>
      <c r="BY85" s="16">
        <f>BV85*1.47</f>
        <v>43.618909090909092</v>
      </c>
      <c r="BZ85" s="16">
        <v>8.5599999999999999E-3</v>
      </c>
      <c r="CA85" s="16">
        <f>(BT85*BZ85)*(44/28)*265</f>
        <v>245.78762114285712</v>
      </c>
      <c r="CB85" s="9">
        <f>(74.1+69.3+63.1)/3*BO85</f>
        <v>255.45343599413366</v>
      </c>
      <c r="CC85" s="16">
        <f>(0.00415+0.08+0.005)/3*BO85*28</f>
        <v>3.0879557720511213</v>
      </c>
      <c r="CD85" s="16">
        <f>(0.0286+0.002+0.0001)/3*BO85*265</f>
        <v>10.064123140582444</v>
      </c>
      <c r="CE85" s="17">
        <f>CB85+CC85+CD85</f>
        <v>268.60551490676727</v>
      </c>
      <c r="CF85" s="9">
        <f>BP85*95</f>
        <v>129.40219020451579</v>
      </c>
      <c r="CG85" s="18">
        <v>269490.90909090912</v>
      </c>
      <c r="CH85" s="9">
        <f t="shared" si="37"/>
        <v>2.3536073251509979</v>
      </c>
      <c r="CI85" s="9">
        <f t="shared" si="38"/>
        <v>0.26511676512219429</v>
      </c>
      <c r="CJ85" s="5">
        <v>51.622405237298196</v>
      </c>
      <c r="CK85" s="5">
        <v>42.066559492523304</v>
      </c>
      <c r="CL85" s="5">
        <v>71.973194919201987</v>
      </c>
    </row>
    <row r="86" spans="1:90" x14ac:dyDescent="0.25">
      <c r="A86" s="2" t="s">
        <v>242</v>
      </c>
      <c r="B86" s="1" t="s">
        <v>84</v>
      </c>
      <c r="C86" s="1" t="s">
        <v>327</v>
      </c>
      <c r="D86" s="1" t="s">
        <v>340</v>
      </c>
      <c r="E86" s="1" t="s">
        <v>331</v>
      </c>
      <c r="F86" s="21">
        <v>7.7158273824400006E-2</v>
      </c>
      <c r="G86" s="22">
        <v>7.4039996712200007E-6</v>
      </c>
      <c r="H86" s="22">
        <v>0</v>
      </c>
      <c r="I86" s="22">
        <v>12169670.793</v>
      </c>
      <c r="J86" s="22">
        <v>2068.0618786199998</v>
      </c>
      <c r="K86" s="22">
        <f t="shared" si="27"/>
        <v>3.7309460912207847E-2</v>
      </c>
      <c r="L86" s="22">
        <f t="shared" si="28"/>
        <v>3.5801635085312956E-2</v>
      </c>
      <c r="M86" s="22">
        <f t="shared" si="29"/>
        <v>5.8845776902578555</v>
      </c>
      <c r="N86" s="21">
        <v>7.7158273824400006E-2</v>
      </c>
      <c r="O86" s="21">
        <v>0</v>
      </c>
      <c r="P86" s="22">
        <v>7.4039996712200007E-6</v>
      </c>
      <c r="Q86" s="22">
        <v>0</v>
      </c>
      <c r="R86" s="23">
        <v>7.2126666143700002E-2</v>
      </c>
      <c r="S86" s="23">
        <v>5.0316078651800001E-3</v>
      </c>
      <c r="T86" s="23">
        <v>0</v>
      </c>
      <c r="U86" s="23">
        <v>0</v>
      </c>
      <c r="V86" s="23">
        <v>0</v>
      </c>
      <c r="W86" s="23">
        <v>0</v>
      </c>
      <c r="X86" s="22">
        <v>6.4154666037899996E-6</v>
      </c>
      <c r="Y86" s="22">
        <v>9.8853305630500004E-7</v>
      </c>
      <c r="Z86" s="22">
        <v>0</v>
      </c>
      <c r="AA86" s="22">
        <v>0</v>
      </c>
      <c r="AB86" s="22">
        <v>0</v>
      </c>
      <c r="AC86" s="22">
        <v>0</v>
      </c>
      <c r="AD86" s="21">
        <v>0</v>
      </c>
      <c r="AE86" s="21">
        <v>0</v>
      </c>
      <c r="AF86" s="21">
        <v>7.2126666148400007E-2</v>
      </c>
      <c r="AG86" s="21">
        <v>0</v>
      </c>
      <c r="AH86" s="21">
        <v>0</v>
      </c>
      <c r="AI86" s="21">
        <v>0</v>
      </c>
      <c r="AJ86" s="21">
        <v>0</v>
      </c>
      <c r="AK86" s="21">
        <v>0</v>
      </c>
      <c r="AL86" s="21">
        <v>5.0316078694500003E-3</v>
      </c>
      <c r="AM86" s="21">
        <v>0</v>
      </c>
      <c r="AN86" s="21">
        <v>0</v>
      </c>
      <c r="AO86" s="21">
        <v>0</v>
      </c>
      <c r="AP86" s="22">
        <v>0</v>
      </c>
      <c r="AQ86" s="22">
        <v>0</v>
      </c>
      <c r="AR86" s="22">
        <v>9.8853305811700003E-7</v>
      </c>
      <c r="AS86" s="22">
        <v>0</v>
      </c>
      <c r="AT86" s="22">
        <v>0</v>
      </c>
      <c r="AU86" s="22">
        <v>6.4154666015900001E-6</v>
      </c>
      <c r="AV86" s="22">
        <v>0</v>
      </c>
      <c r="AW86" s="22">
        <v>0</v>
      </c>
      <c r="AX86" s="22">
        <v>0</v>
      </c>
      <c r="AY86" s="22">
        <v>0</v>
      </c>
      <c r="AZ86" s="22">
        <v>0</v>
      </c>
      <c r="BA86" s="22">
        <v>0</v>
      </c>
      <c r="BB86" s="7">
        <v>0.83958058251300005</v>
      </c>
      <c r="BC86" s="1">
        <v>2.8452453203499998E-5</v>
      </c>
      <c r="BD86" s="9">
        <v>1</v>
      </c>
      <c r="BE86" s="9">
        <v>0</v>
      </c>
      <c r="BF86" s="10">
        <v>0</v>
      </c>
      <c r="BG86" s="11">
        <v>-9.8759055842100008</v>
      </c>
      <c r="BH86" s="12">
        <v>707.27272730000004</v>
      </c>
      <c r="BI86" s="20">
        <v>1</v>
      </c>
      <c r="BJ86" s="15">
        <v>707.27272730000004</v>
      </c>
      <c r="BK86" s="13">
        <f t="shared" si="39"/>
        <v>60848.315074042024</v>
      </c>
      <c r="BL86" s="13">
        <f t="shared" si="30"/>
        <v>12108822.477925958</v>
      </c>
      <c r="BM86" s="14">
        <v>0.49999968042719783</v>
      </c>
      <c r="BN86" s="14">
        <v>99.500000319572806</v>
      </c>
      <c r="BO86" s="16" t="s">
        <v>390</v>
      </c>
      <c r="BP86" s="16" t="s">
        <v>390</v>
      </c>
      <c r="BQ86" s="16" t="s">
        <v>390</v>
      </c>
      <c r="BR86" s="16" t="s">
        <v>390</v>
      </c>
      <c r="BS86" s="16" t="s">
        <v>390</v>
      </c>
      <c r="BT86" s="16" t="s">
        <v>390</v>
      </c>
      <c r="BU86" s="16" t="s">
        <v>390</v>
      </c>
      <c r="BV86" s="16" t="s">
        <v>390</v>
      </c>
      <c r="BW86" s="16" t="s">
        <v>390</v>
      </c>
      <c r="BX86" s="16" t="s">
        <v>390</v>
      </c>
      <c r="BY86" s="16" t="s">
        <v>390</v>
      </c>
      <c r="BZ86" s="16" t="s">
        <v>390</v>
      </c>
      <c r="CA86" s="16" t="s">
        <v>390</v>
      </c>
      <c r="CB86" s="16" t="s">
        <v>390</v>
      </c>
      <c r="CC86" s="16" t="s">
        <v>390</v>
      </c>
      <c r="CD86" s="16" t="s">
        <v>390</v>
      </c>
      <c r="CE86" s="16" t="s">
        <v>390</v>
      </c>
      <c r="CF86" s="16" t="s">
        <v>390</v>
      </c>
      <c r="CG86" s="18">
        <v>621818.18181818188</v>
      </c>
      <c r="CH86" s="9" t="s">
        <v>447</v>
      </c>
      <c r="CI86" s="9" t="s">
        <v>447</v>
      </c>
      <c r="CJ86" s="5">
        <v>68.199077392751079</v>
      </c>
      <c r="CK86" s="5">
        <v>0</v>
      </c>
      <c r="CL86" s="5">
        <v>68.199077392751079</v>
      </c>
    </row>
    <row r="87" spans="1:90" x14ac:dyDescent="0.25">
      <c r="A87" s="2" t="s">
        <v>243</v>
      </c>
      <c r="B87" s="1" t="s">
        <v>85</v>
      </c>
      <c r="C87" s="1" t="s">
        <v>327</v>
      </c>
      <c r="D87" s="1" t="s">
        <v>328</v>
      </c>
      <c r="E87" s="1" t="s">
        <v>329</v>
      </c>
      <c r="F87" s="21">
        <v>4990.1437076399998</v>
      </c>
      <c r="G87" s="22">
        <v>0.71695483613800004</v>
      </c>
      <c r="H87" s="22">
        <v>0</v>
      </c>
      <c r="I87" s="22">
        <v>2382122789.8299999</v>
      </c>
      <c r="J87" s="22">
        <v>463784.35112100001</v>
      </c>
      <c r="K87" s="22">
        <f t="shared" si="27"/>
        <v>10.759620706430619</v>
      </c>
      <c r="L87" s="22">
        <f t="shared" si="28"/>
        <v>15.458797486484157</v>
      </c>
      <c r="M87" s="22">
        <f t="shared" si="29"/>
        <v>5.1362724595434033</v>
      </c>
      <c r="N87" s="21">
        <v>4988.3090380100002</v>
      </c>
      <c r="O87" s="21">
        <v>1.8346757334799999</v>
      </c>
      <c r="P87" s="22">
        <v>0.71668484273999999</v>
      </c>
      <c r="Q87" s="22">
        <v>2.6999341915500004E-4</v>
      </c>
      <c r="R87" s="23">
        <v>3313.1865421100001</v>
      </c>
      <c r="S87" s="23">
        <v>1675.1224852800001</v>
      </c>
      <c r="T87" s="23">
        <v>0</v>
      </c>
      <c r="U87" s="23">
        <v>1.1793005572099999</v>
      </c>
      <c r="V87" s="23">
        <v>0.655375190542</v>
      </c>
      <c r="W87" s="23">
        <v>0</v>
      </c>
      <c r="X87" s="22">
        <v>0.29469874111799998</v>
      </c>
      <c r="Y87" s="22">
        <v>0.42198610174100004</v>
      </c>
      <c r="Z87" s="22">
        <v>0</v>
      </c>
      <c r="AA87" s="22">
        <v>1.0489550800300001E-4</v>
      </c>
      <c r="AB87" s="22">
        <v>1.65097910877E-4</v>
      </c>
      <c r="AC87" s="22">
        <v>0</v>
      </c>
      <c r="AD87" s="21">
        <v>148.28243558399998</v>
      </c>
      <c r="AE87" s="21">
        <v>205.13781910699998</v>
      </c>
      <c r="AF87" s="21">
        <v>2959.7663026700002</v>
      </c>
      <c r="AG87" s="21">
        <v>0.37041833706999999</v>
      </c>
      <c r="AH87" s="21">
        <v>0.80888221017900008</v>
      </c>
      <c r="AI87" s="21">
        <v>0</v>
      </c>
      <c r="AJ87" s="21">
        <v>74.015786711299995</v>
      </c>
      <c r="AK87" s="21">
        <v>101.537944854</v>
      </c>
      <c r="AL87" s="21">
        <v>1499.5687524699999</v>
      </c>
      <c r="AM87" s="21">
        <v>0.205853365624</v>
      </c>
      <c r="AN87" s="21">
        <v>0.449521824199</v>
      </c>
      <c r="AO87" s="21">
        <v>0</v>
      </c>
      <c r="AP87" s="22">
        <v>1.8645581757900001E-2</v>
      </c>
      <c r="AQ87" s="22">
        <v>2.5578787167799998E-2</v>
      </c>
      <c r="AR87" s="22">
        <v>0.37776173249400002</v>
      </c>
      <c r="AS87" s="22">
        <v>1.31893107385E-2</v>
      </c>
      <c r="AT87" s="22">
        <v>1.8246439141799999E-2</v>
      </c>
      <c r="AU87" s="22">
        <v>0.26326299165400002</v>
      </c>
      <c r="AV87" s="22">
        <v>3.2947682238399998E-5</v>
      </c>
      <c r="AW87" s="22">
        <v>7.1947826065699996E-5</v>
      </c>
      <c r="AX87" s="22">
        <v>0</v>
      </c>
      <c r="AY87" s="22">
        <v>5.1857258383000002E-5</v>
      </c>
      <c r="AZ87" s="22">
        <v>1.1324065236300001E-4</v>
      </c>
      <c r="BA87" s="22">
        <v>0</v>
      </c>
      <c r="BB87" s="7">
        <v>503.12646487400002</v>
      </c>
      <c r="BC87" s="1">
        <v>1.70503967433E-2</v>
      </c>
      <c r="BD87" s="9">
        <v>0.9</v>
      </c>
      <c r="BE87" s="9">
        <v>0.05</v>
      </c>
      <c r="BF87" s="10">
        <v>0.05</v>
      </c>
      <c r="BG87" s="11">
        <v>-27.5416949856</v>
      </c>
      <c r="BH87" s="15">
        <v>906.88888888888891</v>
      </c>
      <c r="BI87" s="20">
        <v>1</v>
      </c>
      <c r="BJ87" s="15">
        <v>906.88888888888891</v>
      </c>
      <c r="BK87" s="13">
        <f t="shared" si="39"/>
        <v>2358277209.6814861</v>
      </c>
      <c r="BL87" s="13">
        <f t="shared" si="30"/>
        <v>23845580.148513913</v>
      </c>
      <c r="BM87" s="14">
        <v>98.998977708020846</v>
      </c>
      <c r="BN87" s="14">
        <v>1.0010222919791492</v>
      </c>
      <c r="BO87" s="16">
        <v>1.8451871182458888</v>
      </c>
      <c r="BP87" s="16">
        <v>0.67724450274079873</v>
      </c>
      <c r="BQ87" s="16">
        <v>0.64659636363636364</v>
      </c>
      <c r="BR87" s="16">
        <v>0.16092472727272727</v>
      </c>
      <c r="BS87" s="16">
        <v>1.0845454545454547E-2</v>
      </c>
      <c r="BT87" s="16">
        <v>14.210909090909087</v>
      </c>
      <c r="BU87" s="16">
        <v>11.33272727272727</v>
      </c>
      <c r="BV87" s="16">
        <v>1.0845454545454547</v>
      </c>
      <c r="BW87" s="16">
        <f>BT87*5.66</f>
        <v>80.433745454545431</v>
      </c>
      <c r="BX87" s="16">
        <f>BU87*1.36</f>
        <v>15.412509090909088</v>
      </c>
      <c r="BY87" s="16">
        <f>BV87*1.36</f>
        <v>1.4749818181818184</v>
      </c>
      <c r="BZ87" s="16">
        <v>2.96E-3</v>
      </c>
      <c r="CA87" s="16">
        <f>(BT87*BZ87)*(44/28)*265</f>
        <v>17.516772571428564</v>
      </c>
      <c r="CB87" s="9">
        <f>(74.1+69.3+63.1)/3*BO87</f>
        <v>127.01037997259201</v>
      </c>
      <c r="CC87" s="16">
        <f>(0.00415+0.08+0.005)/3*BO87*28</f>
        <v>1.5353186948551292</v>
      </c>
      <c r="CD87" s="16">
        <f>(0.0286+0.002+0.0001)/3*BO87*265</f>
        <v>5.0038399334964767</v>
      </c>
      <c r="CE87" s="17">
        <f>CB87+CC87+CD87</f>
        <v>133.54953860094361</v>
      </c>
      <c r="CF87" s="9">
        <f>BP87*95</f>
        <v>64.338227760375872</v>
      </c>
      <c r="CG87" s="18">
        <v>2105545.4545454546</v>
      </c>
      <c r="CH87" s="9">
        <f t="shared" si="37"/>
        <v>7.0342023939041276</v>
      </c>
      <c r="CI87" s="9">
        <f t="shared" si="38"/>
        <v>0.65845833469450532</v>
      </c>
      <c r="CJ87" s="5">
        <v>68.513022987778044</v>
      </c>
      <c r="CK87" s="5">
        <v>46.577109402280513</v>
      </c>
      <c r="CL87" s="5">
        <v>83.178746718231579</v>
      </c>
    </row>
    <row r="88" spans="1:90" x14ac:dyDescent="0.25">
      <c r="A88" s="2" t="s">
        <v>244</v>
      </c>
      <c r="B88" s="1" t="s">
        <v>86</v>
      </c>
      <c r="C88" s="1" t="s">
        <v>321</v>
      </c>
      <c r="D88" s="1" t="s">
        <v>322</v>
      </c>
      <c r="E88" s="1" t="s">
        <v>323</v>
      </c>
      <c r="F88" s="21">
        <v>148.17295784699999</v>
      </c>
      <c r="G88" s="22">
        <v>1.47158250187E-2</v>
      </c>
      <c r="H88" s="22">
        <v>6.2843783620700007E-5</v>
      </c>
      <c r="I88" s="22">
        <v>9557893175.5599995</v>
      </c>
      <c r="J88" s="22">
        <v>591659.22122199996</v>
      </c>
      <c r="K88" s="22">
        <f t="shared" si="27"/>
        <v>0.25043631964522894</v>
      </c>
      <c r="L88" s="22">
        <f t="shared" si="28"/>
        <v>0.24872129920169683</v>
      </c>
      <c r="M88" s="22">
        <f t="shared" si="29"/>
        <v>16.154388933243254</v>
      </c>
      <c r="N88" s="21">
        <v>148.17295784699999</v>
      </c>
      <c r="O88" s="21">
        <v>0</v>
      </c>
      <c r="P88" s="22">
        <v>1.47158250187E-2</v>
      </c>
      <c r="Q88" s="22">
        <v>0</v>
      </c>
      <c r="R88" s="23">
        <v>98.552711150899995</v>
      </c>
      <c r="S88" s="23">
        <v>49.620246538700002</v>
      </c>
      <c r="T88" s="23">
        <v>0</v>
      </c>
      <c r="U88" s="23">
        <v>0</v>
      </c>
      <c r="V88" s="23">
        <v>0</v>
      </c>
      <c r="W88" s="23">
        <v>0</v>
      </c>
      <c r="X88" s="22">
        <v>8.7659898873400002E-3</v>
      </c>
      <c r="Y88" s="22">
        <v>5.9498351304799997E-3</v>
      </c>
      <c r="Z88" s="22">
        <v>0</v>
      </c>
      <c r="AA88" s="22">
        <v>0</v>
      </c>
      <c r="AB88" s="22">
        <v>0</v>
      </c>
      <c r="AC88" s="22">
        <v>0</v>
      </c>
      <c r="AD88" s="21">
        <v>0</v>
      </c>
      <c r="AE88" s="21">
        <v>0</v>
      </c>
      <c r="AF88" s="21">
        <v>98.552711169100007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49.620246780199999</v>
      </c>
      <c r="AM88" s="21">
        <v>0</v>
      </c>
      <c r="AN88" s="21">
        <v>0</v>
      </c>
      <c r="AO88" s="21">
        <v>0</v>
      </c>
      <c r="AP88" s="22">
        <v>0</v>
      </c>
      <c r="AQ88" s="22">
        <v>0</v>
      </c>
      <c r="AR88" s="22">
        <v>5.9498351576000004E-3</v>
      </c>
      <c r="AS88" s="22">
        <v>0</v>
      </c>
      <c r="AT88" s="22">
        <v>0</v>
      </c>
      <c r="AU88" s="22">
        <v>8.7659898934100006E-3</v>
      </c>
      <c r="AV88" s="22">
        <v>0</v>
      </c>
      <c r="AW88" s="22">
        <v>0</v>
      </c>
      <c r="AX88" s="22">
        <v>0</v>
      </c>
      <c r="AY88" s="22">
        <v>0</v>
      </c>
      <c r="AZ88" s="22">
        <v>0</v>
      </c>
      <c r="BA88" s="22">
        <v>0</v>
      </c>
      <c r="BB88" s="7">
        <v>5.1809129543200001</v>
      </c>
      <c r="BC88" s="1">
        <v>2.8926764267499998E-4</v>
      </c>
      <c r="BD88" s="9">
        <v>1</v>
      </c>
      <c r="BE88" s="9">
        <v>0</v>
      </c>
      <c r="BF88" s="10">
        <v>0</v>
      </c>
      <c r="BG88" s="11">
        <v>-17.055993165899999</v>
      </c>
      <c r="BH88" s="15">
        <v>431.66666666666669</v>
      </c>
      <c r="BI88" s="20">
        <v>1</v>
      </c>
      <c r="BJ88" s="15">
        <v>431.66666666666669</v>
      </c>
      <c r="BK88" s="13">
        <f t="shared" si="39"/>
        <v>115956435.82397965</v>
      </c>
      <c r="BL88" s="13">
        <f t="shared" si="30"/>
        <v>9441936739.7360191</v>
      </c>
      <c r="BM88" s="14">
        <v>1.2132007932510265</v>
      </c>
      <c r="BN88" s="14">
        <v>98.786799206748967</v>
      </c>
      <c r="BO88" s="16">
        <v>0.46499612302920651</v>
      </c>
      <c r="BP88" s="16">
        <v>0.17066890669423623</v>
      </c>
      <c r="BQ88" s="16">
        <v>3.9060509090909092</v>
      </c>
      <c r="BR88" s="16">
        <v>0.30523545454545459</v>
      </c>
      <c r="BS88" s="16">
        <v>0.33599999999999997</v>
      </c>
      <c r="BT88" s="5">
        <v>85.847272727272724</v>
      </c>
      <c r="BU88" s="5">
        <v>21.495454545454546</v>
      </c>
      <c r="BV88" s="5">
        <v>33.6</v>
      </c>
      <c r="BW88" s="16">
        <f>BT88*4</f>
        <v>343.3890909090909</v>
      </c>
      <c r="BX88" s="16">
        <f>BU88*1.29</f>
        <v>27.729136363636364</v>
      </c>
      <c r="BY88" s="16">
        <f>BV88*1.47</f>
        <v>49.392000000000003</v>
      </c>
      <c r="BZ88" s="16">
        <v>7.2399999999999999E-3</v>
      </c>
      <c r="CA88" s="16">
        <f>(BT88*BZ88)*(44/28)*265</f>
        <v>258.82462171428568</v>
      </c>
      <c r="CB88" s="9">
        <f>(74.1+69.3+63.1)/3*BO88</f>
        <v>32.007233135177046</v>
      </c>
      <c r="CC88" s="16">
        <f>(0.00415+0.08+0.005)/3*BO88*28</f>
        <v>0.38690777410183508</v>
      </c>
      <c r="CD88" s="16">
        <f>(0.0286+0.002+0.0001)/3*BO88*265</f>
        <v>1.2609919863013699</v>
      </c>
      <c r="CE88" s="17">
        <f>CB88+CC88+CD88</f>
        <v>33.655132895580252</v>
      </c>
      <c r="CF88" s="9">
        <f>BP88*95</f>
        <v>16.213546135952441</v>
      </c>
      <c r="CG88" s="18">
        <v>2005636.3636363638</v>
      </c>
      <c r="CH88" s="9">
        <f t="shared" si="37"/>
        <v>10.395115785482188</v>
      </c>
      <c r="CI88" s="9">
        <f t="shared" si="38"/>
        <v>1.4625171122859233</v>
      </c>
      <c r="CJ88" s="5">
        <v>29.613708711977267</v>
      </c>
      <c r="CK88" s="5">
        <v>0</v>
      </c>
      <c r="CL88" s="5">
        <v>29.61370871197726</v>
      </c>
    </row>
    <row r="89" spans="1:90" x14ac:dyDescent="0.25">
      <c r="A89" s="2" t="s">
        <v>245</v>
      </c>
      <c r="B89" s="1" t="s">
        <v>87</v>
      </c>
      <c r="C89" s="1" t="s">
        <v>327</v>
      </c>
      <c r="D89" s="1" t="s">
        <v>341</v>
      </c>
      <c r="E89" s="1" t="s">
        <v>331</v>
      </c>
      <c r="F89" s="21">
        <v>23.113768220299999</v>
      </c>
      <c r="G89" s="22">
        <v>1.8631985059999999E-3</v>
      </c>
      <c r="H89" s="22">
        <v>0</v>
      </c>
      <c r="I89" s="22">
        <v>31181081.738699999</v>
      </c>
      <c r="J89" s="22">
        <v>2247.8278523700001</v>
      </c>
      <c r="K89" s="22">
        <f t="shared" si="27"/>
        <v>10.28271279579082</v>
      </c>
      <c r="L89" s="22">
        <f t="shared" si="28"/>
        <v>8.2888843290892336</v>
      </c>
      <c r="M89" s="22">
        <f t="shared" si="29"/>
        <v>13.871650227051056</v>
      </c>
      <c r="N89" s="21">
        <v>2.9989888414100001</v>
      </c>
      <c r="O89" s="21">
        <v>20.1147792947</v>
      </c>
      <c r="P89" s="22">
        <v>2.4185804267800001E-4</v>
      </c>
      <c r="Q89" s="22">
        <v>1.6213404701500001E-3</v>
      </c>
      <c r="R89" s="23">
        <v>2.6927595915999998</v>
      </c>
      <c r="S89" s="23">
        <v>0.306229246367</v>
      </c>
      <c r="T89" s="23">
        <v>0</v>
      </c>
      <c r="U89" s="23">
        <v>18.050427136500002</v>
      </c>
      <c r="V89" s="23">
        <v>2.0643521094300001</v>
      </c>
      <c r="W89" s="23">
        <v>0</v>
      </c>
      <c r="X89" s="22">
        <v>2.3951348634799999E-4</v>
      </c>
      <c r="Y89" s="22">
        <v>2.3445560823299999E-6</v>
      </c>
      <c r="Z89" s="22">
        <v>0</v>
      </c>
      <c r="AA89" s="22">
        <v>1.6055353396E-3</v>
      </c>
      <c r="AB89" s="22">
        <v>1.5805117531800002E-5</v>
      </c>
      <c r="AC89" s="22">
        <v>0</v>
      </c>
      <c r="AD89" s="21">
        <v>0.303603955574</v>
      </c>
      <c r="AE89" s="21">
        <v>1.2034502900199999</v>
      </c>
      <c r="AF89" s="21">
        <v>1.18570534094</v>
      </c>
      <c r="AG89" s="21">
        <v>2.3023941429199999</v>
      </c>
      <c r="AH89" s="21">
        <v>15.7480329188</v>
      </c>
      <c r="AI89" s="21">
        <v>0</v>
      </c>
      <c r="AJ89" s="21">
        <v>3.4479131361400003E-2</v>
      </c>
      <c r="AK89" s="21">
        <v>0.13726250967699999</v>
      </c>
      <c r="AL89" s="21">
        <v>0.13448760790299999</v>
      </c>
      <c r="AM89" s="21">
        <v>0.26331521564100002</v>
      </c>
      <c r="AN89" s="21">
        <v>1.8010368945699999</v>
      </c>
      <c r="AO89" s="21">
        <v>0</v>
      </c>
      <c r="AP89" s="22">
        <v>2.6397954508299997E-7</v>
      </c>
      <c r="AQ89" s="22">
        <v>1.05091089414E-6</v>
      </c>
      <c r="AR89" s="22">
        <v>1.02966565179E-6</v>
      </c>
      <c r="AS89" s="22">
        <v>2.7004728611699997E-5</v>
      </c>
      <c r="AT89" s="22">
        <v>1.07043560649E-4</v>
      </c>
      <c r="AU89" s="22">
        <v>1.05465196545E-4</v>
      </c>
      <c r="AV89" s="22">
        <v>2.0479156357899999E-4</v>
      </c>
      <c r="AW89" s="22">
        <v>1.4007437879200002E-3</v>
      </c>
      <c r="AX89" s="22">
        <v>0</v>
      </c>
      <c r="AY89" s="22">
        <v>2.01599715204E-6</v>
      </c>
      <c r="AZ89" s="22">
        <v>1.3789120458900001E-5</v>
      </c>
      <c r="BA89" s="22">
        <v>0</v>
      </c>
      <c r="BB89" s="7">
        <v>20.2383844256</v>
      </c>
      <c r="BC89" s="1">
        <v>6.8585635626299999E-4</v>
      </c>
      <c r="BD89" s="9">
        <v>0.5</v>
      </c>
      <c r="BE89" s="9">
        <v>0.379</v>
      </c>
      <c r="BF89" s="10">
        <v>0.121</v>
      </c>
      <c r="BG89" s="11">
        <v>-49.575457368599999</v>
      </c>
      <c r="BH89" s="12">
        <v>27.562363640000001</v>
      </c>
      <c r="BI89" s="20">
        <v>1</v>
      </c>
      <c r="BJ89" s="15">
        <v>27.562363640000001</v>
      </c>
      <c r="BK89" s="13">
        <f t="shared" si="39"/>
        <v>853800.65583669615</v>
      </c>
      <c r="BL89" s="13">
        <f t="shared" si="30"/>
        <v>30327281.082863301</v>
      </c>
      <c r="BM89" s="14">
        <v>2.7382008840861105</v>
      </c>
      <c r="BN89" s="14">
        <v>97.261799115913888</v>
      </c>
      <c r="BO89" s="16" t="s">
        <v>390</v>
      </c>
      <c r="BP89" s="16" t="s">
        <v>390</v>
      </c>
      <c r="BQ89" s="16" t="s">
        <v>390</v>
      </c>
      <c r="BR89" s="16" t="s">
        <v>390</v>
      </c>
      <c r="BS89" s="16" t="s">
        <v>390</v>
      </c>
      <c r="BT89" s="16" t="s">
        <v>390</v>
      </c>
      <c r="BU89" s="16" t="s">
        <v>390</v>
      </c>
      <c r="BV89" s="16" t="s">
        <v>390</v>
      </c>
      <c r="BW89" s="16" t="s">
        <v>390</v>
      </c>
      <c r="BX89" s="16" t="s">
        <v>390</v>
      </c>
      <c r="BY89" s="16" t="s">
        <v>390</v>
      </c>
      <c r="BZ89" s="16" t="s">
        <v>390</v>
      </c>
      <c r="CA89" s="16" t="s">
        <v>390</v>
      </c>
      <c r="CB89" s="16" t="s">
        <v>390</v>
      </c>
      <c r="CC89" s="16" t="s">
        <v>390</v>
      </c>
      <c r="CD89" s="16" t="s">
        <v>390</v>
      </c>
      <c r="CE89" s="16" t="s">
        <v>390</v>
      </c>
      <c r="CF89" s="16" t="s">
        <v>390</v>
      </c>
      <c r="CG89" s="18">
        <v>325454.54545454541</v>
      </c>
      <c r="CH89" s="9" t="s">
        <v>447</v>
      </c>
      <c r="CI89" s="9" t="s">
        <v>447</v>
      </c>
      <c r="CJ89" s="5">
        <v>0</v>
      </c>
      <c r="CK89" s="5">
        <v>37.402913779672723</v>
      </c>
      <c r="CL89" s="5">
        <v>37.402913779672723</v>
      </c>
    </row>
    <row r="90" spans="1:90" x14ac:dyDescent="0.25">
      <c r="A90" s="2" t="s">
        <v>246</v>
      </c>
      <c r="B90" s="1" t="s">
        <v>88</v>
      </c>
      <c r="C90" s="1" t="s">
        <v>324</v>
      </c>
      <c r="D90" s="1" t="s">
        <v>349</v>
      </c>
      <c r="E90" s="1" t="s">
        <v>326</v>
      </c>
      <c r="F90" s="21">
        <v>6.3888109611999999</v>
      </c>
      <c r="G90" s="22">
        <v>6.0577741821899996E-4</v>
      </c>
      <c r="H90" s="22">
        <v>9.8145287716800009E-8</v>
      </c>
      <c r="I90" s="22">
        <v>3854611.7375699999</v>
      </c>
      <c r="J90" s="22">
        <v>4476.6386261500002</v>
      </c>
      <c r="K90" s="22">
        <f t="shared" si="27"/>
        <v>1.4271446714238147</v>
      </c>
      <c r="L90" s="22">
        <f t="shared" si="28"/>
        <v>1.3531970498587707</v>
      </c>
      <c r="M90" s="22">
        <f t="shared" si="29"/>
        <v>0.86105045760306187</v>
      </c>
      <c r="N90" s="21">
        <v>3.6434928298</v>
      </c>
      <c r="O90" s="21">
        <v>2.7453181350200002</v>
      </c>
      <c r="P90" s="22">
        <v>3.4555987300200001E-4</v>
      </c>
      <c r="Q90" s="22">
        <v>2.6021754440600002E-4</v>
      </c>
      <c r="R90" s="23">
        <v>2.3340387647999998</v>
      </c>
      <c r="S90" s="23">
        <v>1.3094540480100001</v>
      </c>
      <c r="T90" s="23">
        <v>0</v>
      </c>
      <c r="U90" s="23">
        <v>1.7682174454899999</v>
      </c>
      <c r="V90" s="23">
        <v>0.97710067912200005</v>
      </c>
      <c r="W90" s="23">
        <v>0</v>
      </c>
      <c r="X90" s="22">
        <v>2.0760626564399998E-4</v>
      </c>
      <c r="Y90" s="22">
        <v>1.3795360669199998E-4</v>
      </c>
      <c r="Z90" s="22">
        <v>0</v>
      </c>
      <c r="AA90" s="22">
        <v>1.57278030301E-4</v>
      </c>
      <c r="AB90" s="22">
        <v>1.02939513521E-4</v>
      </c>
      <c r="AC90" s="22">
        <v>0</v>
      </c>
      <c r="AD90" s="21">
        <v>0</v>
      </c>
      <c r="AE90" s="21">
        <v>2.3340387659499999</v>
      </c>
      <c r="AF90" s="21">
        <v>0</v>
      </c>
      <c r="AG90" s="21">
        <v>0</v>
      </c>
      <c r="AH90" s="21">
        <v>1.76821744591</v>
      </c>
      <c r="AI90" s="21">
        <v>0</v>
      </c>
      <c r="AJ90" s="21">
        <v>0</v>
      </c>
      <c r="AK90" s="21">
        <v>1.3094540475300001</v>
      </c>
      <c r="AL90" s="21">
        <v>0</v>
      </c>
      <c r="AM90" s="21">
        <v>0</v>
      </c>
      <c r="AN90" s="21">
        <v>0.97710068007400008</v>
      </c>
      <c r="AO90" s="21">
        <v>0</v>
      </c>
      <c r="AP90" s="22">
        <v>0</v>
      </c>
      <c r="AQ90" s="22">
        <v>1.3795360668699999E-4</v>
      </c>
      <c r="AR90" s="22">
        <v>0</v>
      </c>
      <c r="AS90" s="22">
        <v>0</v>
      </c>
      <c r="AT90" s="22">
        <v>2.07606265632E-4</v>
      </c>
      <c r="AU90" s="22">
        <v>0</v>
      </c>
      <c r="AV90" s="22">
        <v>0</v>
      </c>
      <c r="AW90" s="22">
        <v>1.5727803045600001E-4</v>
      </c>
      <c r="AX90" s="22">
        <v>0</v>
      </c>
      <c r="AY90" s="22">
        <v>0</v>
      </c>
      <c r="AZ90" s="22">
        <v>1.0293951357899999E-4</v>
      </c>
      <c r="BA90" s="22">
        <v>0</v>
      </c>
      <c r="BB90" s="7">
        <v>7879.3324933100002</v>
      </c>
      <c r="BC90" s="1">
        <v>0.124756097962</v>
      </c>
      <c r="BD90" s="9">
        <v>0</v>
      </c>
      <c r="BE90" s="9">
        <v>1</v>
      </c>
      <c r="BF90" s="10">
        <v>0</v>
      </c>
      <c r="BG90" s="11">
        <v>-6.2168939103999996</v>
      </c>
      <c r="BH90" s="15">
        <v>240.55555555555554</v>
      </c>
      <c r="BI90" s="20">
        <v>1.5766304347826088</v>
      </c>
      <c r="BJ90" s="15">
        <v>379.26721014492756</v>
      </c>
      <c r="BK90" s="13">
        <f t="shared" si="39"/>
        <v>1880360.2428413285</v>
      </c>
      <c r="BL90" s="13">
        <f t="shared" si="30"/>
        <v>1974251.4947286714</v>
      </c>
      <c r="BM90" s="14">
        <v>48.782091968275211</v>
      </c>
      <c r="BN90" s="14">
        <v>51.217908031724789</v>
      </c>
      <c r="BO90" s="16">
        <v>6.2563862156374279</v>
      </c>
      <c r="BP90" s="16">
        <v>2.6243428521480698</v>
      </c>
      <c r="BQ90" s="16">
        <v>2.8717531818181814</v>
      </c>
      <c r="BR90" s="16">
        <v>0.22881363636363636</v>
      </c>
      <c r="BS90" s="16">
        <v>0.22939090909090909</v>
      </c>
      <c r="BT90" s="16">
        <v>63.115454545454554</v>
      </c>
      <c r="BU90" s="16">
        <v>16.113636363636363</v>
      </c>
      <c r="BV90" s="16">
        <v>22.939090909090908</v>
      </c>
      <c r="BW90" s="16">
        <f>BT90*5.66</f>
        <v>357.23347272727278</v>
      </c>
      <c r="BX90" s="16">
        <f t="shared" ref="BX90:BY92" si="40">BU90*1.36</f>
        <v>21.914545454545454</v>
      </c>
      <c r="BY90" s="16">
        <f t="shared" si="40"/>
        <v>31.197163636363637</v>
      </c>
      <c r="BZ90" s="16">
        <v>7.1999999999999998E-3</v>
      </c>
      <c r="CA90" s="16">
        <f t="shared" ref="CA90:CA100" si="41">(BT90*BZ90)*(44/28)*265</f>
        <v>189.23816571428574</v>
      </c>
      <c r="CB90" s="9">
        <f t="shared" ref="CB90:CB97" si="42">(74.1+69.3+63.1)/3*BO90</f>
        <v>430.64791784304293</v>
      </c>
      <c r="CC90" s="16">
        <f t="shared" ref="CC90:CC97" si="43">(0.00415+0.08+0.005)/3*BO90*28</f>
        <v>5.2057304238247166</v>
      </c>
      <c r="CD90" s="16">
        <f t="shared" ref="CD90:CD97" si="44">(0.0286+0.002+0.0001)/3*BO90*265</f>
        <v>16.966276685772765</v>
      </c>
      <c r="CE90" s="17">
        <f t="shared" ref="CE90:CE97" si="45">CB90+CC90+CD90</f>
        <v>452.81992495264041</v>
      </c>
      <c r="CF90" s="9">
        <f t="shared" ref="CF90:CF97" si="46">BP90*95</f>
        <v>249.31257095406664</v>
      </c>
      <c r="CG90" s="18">
        <v>1940800</v>
      </c>
      <c r="CH90" s="9">
        <f t="shared" si="37"/>
        <v>23.698500931849008</v>
      </c>
      <c r="CI90" s="9">
        <f t="shared" si="38"/>
        <v>2.5263701089467503</v>
      </c>
      <c r="CJ90" s="5">
        <v>0</v>
      </c>
      <c r="CK90" s="5">
        <v>0.10646118028366031</v>
      </c>
      <c r="CL90" s="5">
        <v>0.10646118028365681</v>
      </c>
    </row>
    <row r="91" spans="1:90" x14ac:dyDescent="0.25">
      <c r="A91" s="2" t="s">
        <v>247</v>
      </c>
      <c r="B91" s="1" t="s">
        <v>89</v>
      </c>
      <c r="C91" s="1" t="s">
        <v>327</v>
      </c>
      <c r="D91" s="1" t="s">
        <v>328</v>
      </c>
      <c r="E91" s="1" t="s">
        <v>329</v>
      </c>
      <c r="F91" s="21">
        <v>11220.886801500001</v>
      </c>
      <c r="G91" s="22">
        <v>1.2527701663899999</v>
      </c>
      <c r="H91" s="22">
        <v>5.2438457047199996E-4</v>
      </c>
      <c r="I91" s="22">
        <v>9269180897.9899998</v>
      </c>
      <c r="J91" s="22">
        <v>1472376.89047</v>
      </c>
      <c r="K91" s="22">
        <f t="shared" si="27"/>
        <v>7.6209337936010142</v>
      </c>
      <c r="L91" s="22">
        <f t="shared" si="28"/>
        <v>8.5084883802414275</v>
      </c>
      <c r="M91" s="22">
        <f t="shared" si="29"/>
        <v>6.2953860237721937</v>
      </c>
      <c r="N91" s="21">
        <v>10285.300221400001</v>
      </c>
      <c r="O91" s="21">
        <v>935.58655021599998</v>
      </c>
      <c r="P91" s="22">
        <v>1.1494126443099999</v>
      </c>
      <c r="Q91" s="22">
        <v>0.103357519698</v>
      </c>
      <c r="R91" s="23">
        <v>7935.6282807600001</v>
      </c>
      <c r="S91" s="23">
        <v>2349.6719541699999</v>
      </c>
      <c r="T91" s="23">
        <v>0</v>
      </c>
      <c r="U91" s="23">
        <v>733.843212827</v>
      </c>
      <c r="V91" s="23">
        <v>201.743337908</v>
      </c>
      <c r="W91" s="23">
        <v>0</v>
      </c>
      <c r="X91" s="22">
        <v>0.70585209169499996</v>
      </c>
      <c r="Y91" s="22">
        <v>0.443560553824</v>
      </c>
      <c r="Z91" s="22">
        <v>0</v>
      </c>
      <c r="AA91" s="22">
        <v>6.5273315266100002E-2</v>
      </c>
      <c r="AB91" s="22">
        <v>3.8084204265599997E-2</v>
      </c>
      <c r="AC91" s="22">
        <v>0</v>
      </c>
      <c r="AD91" s="21">
        <v>517.14479524399997</v>
      </c>
      <c r="AE91" s="21">
        <v>1074.1024875799999</v>
      </c>
      <c r="AF91" s="21">
        <v>6344.3809816000003</v>
      </c>
      <c r="AG91" s="21">
        <v>167.17683483799999</v>
      </c>
      <c r="AH91" s="21">
        <v>566.66637887899992</v>
      </c>
      <c r="AI91" s="21">
        <v>0</v>
      </c>
      <c r="AJ91" s="21">
        <v>154.15317699399998</v>
      </c>
      <c r="AK91" s="21">
        <v>317.13969164700001</v>
      </c>
      <c r="AL91" s="21">
        <v>1878.3790845999999</v>
      </c>
      <c r="AM91" s="21">
        <v>45.959153255099999</v>
      </c>
      <c r="AN91" s="21">
        <v>155.78418416400001</v>
      </c>
      <c r="AO91" s="21">
        <v>0</v>
      </c>
      <c r="AP91" s="22">
        <v>2.9100346795499998E-2</v>
      </c>
      <c r="AQ91" s="22">
        <v>5.9868211442899999E-2</v>
      </c>
      <c r="AR91" s="22">
        <v>0.354591995657</v>
      </c>
      <c r="AS91" s="22">
        <v>4.5998593020900001E-2</v>
      </c>
      <c r="AT91" s="22">
        <v>9.5538432776499996E-2</v>
      </c>
      <c r="AU91" s="22">
        <v>0.56431506585900004</v>
      </c>
      <c r="AV91" s="22">
        <v>1.48699150831E-2</v>
      </c>
      <c r="AW91" s="22">
        <v>5.0403400289999997E-2</v>
      </c>
      <c r="AX91" s="22">
        <v>0</v>
      </c>
      <c r="AY91" s="22">
        <v>8.6759632529699992E-3</v>
      </c>
      <c r="AZ91" s="22">
        <v>2.94082409962E-2</v>
      </c>
      <c r="BA91" s="22">
        <v>0</v>
      </c>
      <c r="BB91" s="7">
        <v>1352.9829864799999</v>
      </c>
      <c r="BC91" s="1">
        <v>4.5851089569099994E-2</v>
      </c>
      <c r="BD91" s="9">
        <v>0.82899999999999996</v>
      </c>
      <c r="BE91" s="9">
        <v>0.104</v>
      </c>
      <c r="BF91" s="10">
        <v>6.7000000000000004E-2</v>
      </c>
      <c r="BG91" s="11">
        <v>-35.512534141499998</v>
      </c>
      <c r="BH91" s="15">
        <v>779.44444444444446</v>
      </c>
      <c r="BI91" s="20">
        <v>0.87189265536723159</v>
      </c>
      <c r="BJ91" s="15">
        <v>679.59188637790328</v>
      </c>
      <c r="BK91" s="13">
        <f t="shared" si="39"/>
        <v>4032151956.0493546</v>
      </c>
      <c r="BL91" s="13">
        <f t="shared" si="30"/>
        <v>5237028941.9406462</v>
      </c>
      <c r="BM91" s="14">
        <v>43.500628593015342</v>
      </c>
      <c r="BN91" s="14">
        <v>56.499371406984658</v>
      </c>
      <c r="BO91" s="16">
        <v>0.50447278112824889</v>
      </c>
      <c r="BP91" s="16">
        <v>0.18515814164487376</v>
      </c>
      <c r="BQ91" s="16">
        <v>1.2424395454545456</v>
      </c>
      <c r="BR91" s="16">
        <v>0.21221254545454543</v>
      </c>
      <c r="BS91" s="16">
        <v>5.9263636363636366E-2</v>
      </c>
      <c r="BT91" s="16">
        <v>27.306363636363638</v>
      </c>
      <c r="BU91" s="16">
        <v>14.944545454545455</v>
      </c>
      <c r="BV91" s="16">
        <v>5.9263636363636358</v>
      </c>
      <c r="BW91" s="16">
        <f>BT91*5.66</f>
        <v>154.55401818181821</v>
      </c>
      <c r="BX91" s="16">
        <f t="shared" si="40"/>
        <v>20.324581818181819</v>
      </c>
      <c r="BY91" s="16">
        <f t="shared" si="40"/>
        <v>8.0598545454545452</v>
      </c>
      <c r="BZ91" s="16">
        <v>2.96E-3</v>
      </c>
      <c r="CA91" s="16">
        <f t="shared" si="41"/>
        <v>33.658604000000004</v>
      </c>
      <c r="CB91" s="9">
        <f t="shared" si="42"/>
        <v>34.72454310099446</v>
      </c>
      <c r="CC91" s="16">
        <f t="shared" si="43"/>
        <v>0.41975498541744499</v>
      </c>
      <c r="CD91" s="16">
        <f t="shared" si="44"/>
        <v>1.3680461036229563</v>
      </c>
      <c r="CE91" s="17">
        <f t="shared" si="45"/>
        <v>36.512344190034867</v>
      </c>
      <c r="CF91" s="9">
        <f t="shared" si="46"/>
        <v>17.590023456263008</v>
      </c>
      <c r="CG91" s="18">
        <v>9189900.0000000019</v>
      </c>
      <c r="CH91" s="9">
        <f t="shared" si="37"/>
        <v>20.250373359256365</v>
      </c>
      <c r="CI91" s="9">
        <f t="shared" si="38"/>
        <v>2.487700656759587</v>
      </c>
      <c r="CJ91" s="5">
        <v>65.272105708810159</v>
      </c>
      <c r="CK91" s="5">
        <v>29.860133556583978</v>
      </c>
      <c r="CL91" s="5">
        <v>75.641901325548744</v>
      </c>
    </row>
    <row r="92" spans="1:90" x14ac:dyDescent="0.25">
      <c r="A92" s="2" t="s">
        <v>248</v>
      </c>
      <c r="B92" s="1" t="s">
        <v>90</v>
      </c>
      <c r="C92" s="1" t="s">
        <v>327</v>
      </c>
      <c r="D92" s="1" t="s">
        <v>345</v>
      </c>
      <c r="E92" s="1" t="s">
        <v>331</v>
      </c>
      <c r="F92" s="21">
        <v>61.165073382599999</v>
      </c>
      <c r="G92" s="22">
        <v>5.43147037638E-3</v>
      </c>
      <c r="H92" s="22">
        <v>0</v>
      </c>
      <c r="I92" s="22">
        <v>17412712357.900002</v>
      </c>
      <c r="J92" s="22">
        <v>1077051.3565400001</v>
      </c>
      <c r="K92" s="22">
        <f t="shared" si="27"/>
        <v>5.6789375001663089E-2</v>
      </c>
      <c r="L92" s="22">
        <f t="shared" si="28"/>
        <v>5.0429075116979194E-2</v>
      </c>
      <c r="M92" s="22">
        <f t="shared" si="29"/>
        <v>16.167021425828658</v>
      </c>
      <c r="N92" s="21">
        <v>0</v>
      </c>
      <c r="O92" s="21">
        <v>61.165073382599999</v>
      </c>
      <c r="P92" s="22">
        <v>0</v>
      </c>
      <c r="Q92" s="22">
        <v>5.43147037638E-3</v>
      </c>
      <c r="R92" s="23">
        <v>0</v>
      </c>
      <c r="S92" s="23">
        <v>0</v>
      </c>
      <c r="T92" s="23">
        <v>0</v>
      </c>
      <c r="U92" s="23">
        <v>59.518261571499998</v>
      </c>
      <c r="V92" s="23">
        <v>1.64681188854</v>
      </c>
      <c r="W92" s="23">
        <v>0</v>
      </c>
      <c r="X92" s="22">
        <v>0</v>
      </c>
      <c r="Y92" s="22">
        <v>0</v>
      </c>
      <c r="Z92" s="22">
        <v>0</v>
      </c>
      <c r="AA92" s="22">
        <v>5.2939840361200001E-3</v>
      </c>
      <c r="AB92" s="22">
        <v>1.3748633617999999E-4</v>
      </c>
      <c r="AC92" s="22">
        <v>0</v>
      </c>
      <c r="AD92" s="21">
        <v>0</v>
      </c>
      <c r="AE92" s="21">
        <v>0</v>
      </c>
      <c r="AF92" s="21">
        <v>0</v>
      </c>
      <c r="AG92" s="21">
        <v>0</v>
      </c>
      <c r="AH92" s="21">
        <v>59.518261561099997</v>
      </c>
      <c r="AI92" s="21">
        <v>0</v>
      </c>
      <c r="AJ92" s="21">
        <v>0</v>
      </c>
      <c r="AK92" s="21">
        <v>0</v>
      </c>
      <c r="AL92" s="21">
        <v>0</v>
      </c>
      <c r="AM92" s="21">
        <v>0</v>
      </c>
      <c r="AN92" s="21">
        <v>1.6468118920100001</v>
      </c>
      <c r="AO92" s="21">
        <v>0</v>
      </c>
      <c r="AP92" s="22">
        <v>0</v>
      </c>
      <c r="AQ92" s="22">
        <v>0</v>
      </c>
      <c r="AR92" s="22">
        <v>0</v>
      </c>
      <c r="AS92" s="22">
        <v>0</v>
      </c>
      <c r="AT92" s="22">
        <v>0</v>
      </c>
      <c r="AU92" s="22">
        <v>0</v>
      </c>
      <c r="AV92" s="22">
        <v>0</v>
      </c>
      <c r="AW92" s="22">
        <v>5.29398403687E-3</v>
      </c>
      <c r="AX92" s="22">
        <v>0</v>
      </c>
      <c r="AY92" s="22">
        <v>0</v>
      </c>
      <c r="AZ92" s="22">
        <v>1.3748633605399998E-4</v>
      </c>
      <c r="BA92" s="22">
        <v>0</v>
      </c>
      <c r="BB92" s="7">
        <v>10.3630278265</v>
      </c>
      <c r="BC92" s="1">
        <v>3.5119149833200001E-4</v>
      </c>
      <c r="BD92" s="9">
        <v>0.998</v>
      </c>
      <c r="BE92" s="9">
        <v>2E-3</v>
      </c>
      <c r="BF92" s="10">
        <v>0</v>
      </c>
      <c r="BG92" s="11">
        <v>-29.1684460978</v>
      </c>
      <c r="BH92" s="12">
        <v>300.55090910000001</v>
      </c>
      <c r="BI92" s="20">
        <v>1</v>
      </c>
      <c r="BJ92" s="15">
        <v>300.55090910000001</v>
      </c>
      <c r="BK92" s="13">
        <f t="shared" si="39"/>
        <v>0</v>
      </c>
      <c r="BL92" s="13">
        <f t="shared" si="30"/>
        <v>17412712357.900002</v>
      </c>
      <c r="BM92" s="14">
        <v>0</v>
      </c>
      <c r="BN92" s="14">
        <v>100</v>
      </c>
      <c r="BO92" s="16">
        <v>9.4845070422535205E-2</v>
      </c>
      <c r="BP92" s="16">
        <v>3.48112676056338E-2</v>
      </c>
      <c r="BQ92" s="16">
        <v>5.7205909090909085E-2</v>
      </c>
      <c r="BR92" s="16">
        <v>9.268727272727274E-3</v>
      </c>
      <c r="BS92" s="16">
        <v>6.7000000000000002E-3</v>
      </c>
      <c r="BT92" s="16">
        <v>1.2572727272727275</v>
      </c>
      <c r="BU92" s="16">
        <v>0.65272727272727282</v>
      </c>
      <c r="BV92" s="16">
        <v>0.67</v>
      </c>
      <c r="BW92" s="16">
        <f>BT92*5.66</f>
        <v>7.1161636363636385</v>
      </c>
      <c r="BX92" s="16">
        <f t="shared" si="40"/>
        <v>0.88770909090909111</v>
      </c>
      <c r="BY92" s="16">
        <f t="shared" si="40"/>
        <v>0.91120000000000012</v>
      </c>
      <c r="BZ92" s="16">
        <v>2.96E-3</v>
      </c>
      <c r="CA92" s="16">
        <f t="shared" si="41"/>
        <v>1.549750285714286</v>
      </c>
      <c r="CB92" s="9">
        <f t="shared" si="42"/>
        <v>6.5285023474178399</v>
      </c>
      <c r="CC92" s="16">
        <f t="shared" si="43"/>
        <v>7.8917421596244125E-2</v>
      </c>
      <c r="CD92" s="16">
        <f t="shared" si="44"/>
        <v>0.25720402347417837</v>
      </c>
      <c r="CE92" s="17">
        <f t="shared" si="45"/>
        <v>6.8646237924882616</v>
      </c>
      <c r="CF92" s="9">
        <f t="shared" si="46"/>
        <v>3.3070704225352108</v>
      </c>
      <c r="CG92" s="18">
        <v>3572727.2727272725</v>
      </c>
      <c r="CH92" s="9">
        <f t="shared" si="37"/>
        <v>0.72465975396344995</v>
      </c>
      <c r="CI92" s="9">
        <f t="shared" si="38"/>
        <v>7.3728647914619291E-2</v>
      </c>
      <c r="CJ92" s="5">
        <v>25.837470257091155</v>
      </c>
      <c r="CK92" s="5">
        <v>0</v>
      </c>
      <c r="CL92" s="5">
        <v>25.837470257091155</v>
      </c>
    </row>
    <row r="93" spans="1:90" x14ac:dyDescent="0.25">
      <c r="A93" s="2" t="s">
        <v>249</v>
      </c>
      <c r="B93" s="1" t="s">
        <v>91</v>
      </c>
      <c r="C93" s="1" t="s">
        <v>332</v>
      </c>
      <c r="D93" s="1" t="s">
        <v>338</v>
      </c>
      <c r="E93" s="1" t="s">
        <v>339</v>
      </c>
      <c r="F93" s="21">
        <v>49660.394065699998</v>
      </c>
      <c r="G93" s="22">
        <v>5.1903928244599999</v>
      </c>
      <c r="H93" s="22">
        <v>0.112850719317</v>
      </c>
      <c r="I93" s="22">
        <v>54145666209.400002</v>
      </c>
      <c r="J93" s="22">
        <v>6790160.8600399997</v>
      </c>
      <c r="K93" s="22">
        <f t="shared" si="27"/>
        <v>7.3135813847873195</v>
      </c>
      <c r="L93" s="22">
        <f t="shared" si="28"/>
        <v>7.6439909619894104</v>
      </c>
      <c r="M93" s="22">
        <f t="shared" si="29"/>
        <v>7.9741360072993963</v>
      </c>
      <c r="N93" s="21">
        <v>46825.9980402</v>
      </c>
      <c r="O93" s="21">
        <v>2834.3960093800001</v>
      </c>
      <c r="P93" s="22">
        <v>4.8997259208099999</v>
      </c>
      <c r="Q93" s="22">
        <v>0.29066689826500003</v>
      </c>
      <c r="R93" s="23">
        <v>31505.751262000002</v>
      </c>
      <c r="S93" s="23">
        <v>15318.012645700001</v>
      </c>
      <c r="T93" s="23">
        <v>0</v>
      </c>
      <c r="U93" s="23">
        <v>2029.8425782500001</v>
      </c>
      <c r="V93" s="23">
        <v>804.054391657</v>
      </c>
      <c r="W93" s="23">
        <v>0</v>
      </c>
      <c r="X93" s="22">
        <v>2.8023490601300001</v>
      </c>
      <c r="Y93" s="22">
        <v>2.09722998708</v>
      </c>
      <c r="Z93" s="22">
        <v>0</v>
      </c>
      <c r="AA93" s="22">
        <v>0.18054885842400001</v>
      </c>
      <c r="AB93" s="22">
        <v>0.11008523238200001</v>
      </c>
      <c r="AC93" s="22">
        <v>0</v>
      </c>
      <c r="AD93" s="21">
        <v>812.71076581500006</v>
      </c>
      <c r="AE93" s="21">
        <v>2420.8706887500002</v>
      </c>
      <c r="AF93" s="21">
        <v>28272.169810900003</v>
      </c>
      <c r="AG93" s="21">
        <v>349.72333778299998</v>
      </c>
      <c r="AH93" s="21">
        <v>1680.1192371</v>
      </c>
      <c r="AI93" s="21">
        <v>0</v>
      </c>
      <c r="AJ93" s="21">
        <v>402.65493078100002</v>
      </c>
      <c r="AK93" s="21">
        <v>1186.23508302</v>
      </c>
      <c r="AL93" s="21">
        <v>13729.122626799999</v>
      </c>
      <c r="AM93" s="21">
        <v>138.53122838900001</v>
      </c>
      <c r="AN93" s="21">
        <v>665.523163049</v>
      </c>
      <c r="AO93" s="21">
        <v>0</v>
      </c>
      <c r="AP93" s="22">
        <v>5.5128561107999997E-2</v>
      </c>
      <c r="AQ93" s="22">
        <v>0.16241061060799999</v>
      </c>
      <c r="AR93" s="22">
        <v>1.87969081472</v>
      </c>
      <c r="AS93" s="22">
        <v>7.2288365167800003E-2</v>
      </c>
      <c r="AT93" s="22">
        <v>0.215329723192</v>
      </c>
      <c r="AU93" s="22">
        <v>2.5147309720000002</v>
      </c>
      <c r="AV93" s="22">
        <v>3.1106919459500001E-2</v>
      </c>
      <c r="AW93" s="22">
        <v>0.149441939158</v>
      </c>
      <c r="AX93" s="22">
        <v>0</v>
      </c>
      <c r="AY93" s="22">
        <v>1.8966680123599998E-2</v>
      </c>
      <c r="AZ93" s="22">
        <v>9.1118552249199999E-2</v>
      </c>
      <c r="BA93" s="22">
        <v>0</v>
      </c>
      <c r="BB93" s="7">
        <v>18451.697829299999</v>
      </c>
      <c r="BC93" s="1">
        <v>0.36390848531100001</v>
      </c>
      <c r="BD93" s="9">
        <v>0.91900000000000004</v>
      </c>
      <c r="BE93" s="9">
        <v>5.5E-2</v>
      </c>
      <c r="BF93" s="10">
        <v>2.5000000000000001E-2</v>
      </c>
      <c r="BG93" s="11">
        <v>-39.873887256800003</v>
      </c>
      <c r="BH93" s="15">
        <v>492.77777777777777</v>
      </c>
      <c r="BI93" s="20">
        <v>1.0002188183807441</v>
      </c>
      <c r="BJ93" s="15">
        <v>492.8856066131778</v>
      </c>
      <c r="BK93" s="13">
        <f t="shared" si="39"/>
        <v>21827034383.403557</v>
      </c>
      <c r="BL93" s="13">
        <f t="shared" si="30"/>
        <v>32318631825.996441</v>
      </c>
      <c r="BM93" s="14">
        <v>40.311692350392129</v>
      </c>
      <c r="BN93" s="14">
        <v>59.688307649607864</v>
      </c>
      <c r="BO93" s="16">
        <v>1.4346675700031768</v>
      </c>
      <c r="BP93" s="16">
        <v>0.60179462277056328</v>
      </c>
      <c r="BQ93" s="16">
        <v>1.9708118181818184</v>
      </c>
      <c r="BR93" s="16">
        <v>0.17228472727272726</v>
      </c>
      <c r="BS93" s="16">
        <v>8.2799999999999999E-2</v>
      </c>
      <c r="BT93" s="16">
        <v>43.31454545454546</v>
      </c>
      <c r="BU93" s="16">
        <v>12.132727272727273</v>
      </c>
      <c r="BV93" s="16">
        <v>8.2799999999999994</v>
      </c>
      <c r="BW93" s="16">
        <f>BT93*3.53</f>
        <v>152.90034545454546</v>
      </c>
      <c r="BX93" s="16">
        <f>BU93*0.54</f>
        <v>6.5516727272727273</v>
      </c>
      <c r="BY93" s="16">
        <f>BV93*1.02</f>
        <v>8.4455999999999989</v>
      </c>
      <c r="BZ93" s="16">
        <v>2.4420000000000001E-2</v>
      </c>
      <c r="CA93" s="16">
        <f t="shared" si="41"/>
        <v>440.47365685714294</v>
      </c>
      <c r="CB93" s="9">
        <f t="shared" si="42"/>
        <v>98.752951068551994</v>
      </c>
      <c r="CC93" s="16">
        <f t="shared" si="43"/>
        <v>1.1937390627473099</v>
      </c>
      <c r="CD93" s="16">
        <f t="shared" si="44"/>
        <v>3.8905793385869485</v>
      </c>
      <c r="CE93" s="17">
        <f t="shared" si="45"/>
        <v>103.83726946988625</v>
      </c>
      <c r="CF93" s="9">
        <f t="shared" si="46"/>
        <v>57.170489163203513</v>
      </c>
      <c r="CG93" s="18">
        <v>25788090.909090906</v>
      </c>
      <c r="CH93" s="9">
        <f t="shared" si="37"/>
        <v>109.91809462858903</v>
      </c>
      <c r="CI93" s="9">
        <f t="shared" si="38"/>
        <v>19.840816463883357</v>
      </c>
      <c r="CJ93" s="5">
        <v>65.849593162912441</v>
      </c>
      <c r="CK93" s="5">
        <v>19.838433140062047</v>
      </c>
      <c r="CL93" s="5">
        <v>72.624498790347246</v>
      </c>
    </row>
    <row r="94" spans="1:90" x14ac:dyDescent="0.25">
      <c r="A94" s="2" t="s">
        <v>250</v>
      </c>
      <c r="B94" s="1" t="s">
        <v>92</v>
      </c>
      <c r="C94" s="1" t="s">
        <v>324</v>
      </c>
      <c r="D94" s="1" t="s">
        <v>325</v>
      </c>
      <c r="E94" s="1" t="s">
        <v>326</v>
      </c>
      <c r="F94" s="21">
        <v>57.367059187499997</v>
      </c>
      <c r="G94" s="22">
        <v>6.41147713023E-3</v>
      </c>
      <c r="H94" s="22">
        <v>3.0233755148900001E-7</v>
      </c>
      <c r="I94" s="22">
        <v>221656929.539</v>
      </c>
      <c r="J94" s="22">
        <v>127288.534528</v>
      </c>
      <c r="K94" s="22">
        <f t="shared" si="27"/>
        <v>0.45068520428979258</v>
      </c>
      <c r="L94" s="22">
        <f t="shared" si="28"/>
        <v>0.50369635835658477</v>
      </c>
      <c r="M94" s="22">
        <f t="shared" si="29"/>
        <v>1.741373882266211</v>
      </c>
      <c r="N94" s="21">
        <v>31.291346785399998</v>
      </c>
      <c r="O94" s="21">
        <v>26.075712654299998</v>
      </c>
      <c r="P94" s="22">
        <v>3.4552387317100001E-3</v>
      </c>
      <c r="Q94" s="22">
        <v>2.9562384053800003E-3</v>
      </c>
      <c r="R94" s="23">
        <v>21.615956968700001</v>
      </c>
      <c r="S94" s="23">
        <v>9.6753902321700007</v>
      </c>
      <c r="T94" s="23">
        <v>0</v>
      </c>
      <c r="U94" s="23">
        <v>16.905489836899999</v>
      </c>
      <c r="V94" s="23">
        <v>9.1702227706099997</v>
      </c>
      <c r="W94" s="23">
        <v>0</v>
      </c>
      <c r="X94" s="22">
        <v>1.9226793059100001E-3</v>
      </c>
      <c r="Y94" s="22">
        <v>1.53255940483E-3</v>
      </c>
      <c r="Z94" s="22">
        <v>0</v>
      </c>
      <c r="AA94" s="22">
        <v>1.50369635679E-3</v>
      </c>
      <c r="AB94" s="22">
        <v>1.4525420576900002E-3</v>
      </c>
      <c r="AC94" s="22">
        <v>0</v>
      </c>
      <c r="AD94" s="21">
        <v>0.39038468456700004</v>
      </c>
      <c r="AE94" s="21">
        <v>2.5526372741899999</v>
      </c>
      <c r="AF94" s="21">
        <v>18.6729353176</v>
      </c>
      <c r="AG94" s="21">
        <v>1.40413232544</v>
      </c>
      <c r="AH94" s="21">
        <v>15.501357539599999</v>
      </c>
      <c r="AI94" s="21">
        <v>0</v>
      </c>
      <c r="AJ94" s="21">
        <v>0.17647371572699999</v>
      </c>
      <c r="AK94" s="21">
        <v>1.16379127071</v>
      </c>
      <c r="AL94" s="21">
        <v>8.3351252456200005</v>
      </c>
      <c r="AM94" s="21">
        <v>0.76165826820899996</v>
      </c>
      <c r="AN94" s="21">
        <v>8.4085644834400011</v>
      </c>
      <c r="AO94" s="21">
        <v>0</v>
      </c>
      <c r="AP94" s="22">
        <v>2.7953027936900001E-5</v>
      </c>
      <c r="AQ94" s="22">
        <v>1.8434184357600002E-4</v>
      </c>
      <c r="AR94" s="22">
        <v>1.32026454628E-3</v>
      </c>
      <c r="AS94" s="22">
        <v>3.4723632763999996E-5</v>
      </c>
      <c r="AT94" s="22">
        <v>2.2704999301899998E-4</v>
      </c>
      <c r="AU94" s="22">
        <v>1.6609056942999999E-3</v>
      </c>
      <c r="AV94" s="22">
        <v>1.2489367026000001E-4</v>
      </c>
      <c r="AW94" s="22">
        <v>1.3788026855899999E-3</v>
      </c>
      <c r="AX94" s="22">
        <v>0</v>
      </c>
      <c r="AY94" s="22">
        <v>1.20644906284E-4</v>
      </c>
      <c r="AZ94" s="22">
        <v>1.3318971486500002E-3</v>
      </c>
      <c r="BA94" s="22">
        <v>0</v>
      </c>
      <c r="BB94" s="7">
        <v>98.162352651399999</v>
      </c>
      <c r="BC94" s="1">
        <v>1.55423723382E-3</v>
      </c>
      <c r="BD94" s="9">
        <v>0.89100000000000001</v>
      </c>
      <c r="BE94" s="9">
        <v>9.0999999999999998E-2</v>
      </c>
      <c r="BF94" s="10">
        <v>1.7999999999999999E-2</v>
      </c>
      <c r="BG94" s="11">
        <v>-30.5215606328</v>
      </c>
      <c r="BH94" s="12">
        <v>666.33254550000004</v>
      </c>
      <c r="BI94" s="20">
        <v>0.85577639751552792</v>
      </c>
      <c r="BJ94" s="15">
        <v>570.23166533534163</v>
      </c>
      <c r="BK94" s="13">
        <f t="shared" si="39"/>
        <v>12735555.869053705</v>
      </c>
      <c r="BL94" s="13">
        <f t="shared" si="30"/>
        <v>208921373.66994628</v>
      </c>
      <c r="BM94" s="14">
        <v>5.7456159369982229</v>
      </c>
      <c r="BN94" s="14">
        <v>94.25438406300178</v>
      </c>
      <c r="BO94" s="16">
        <v>10.857777182235834</v>
      </c>
      <c r="BP94" s="16">
        <v>4.554471056661562</v>
      </c>
      <c r="BQ94" s="16">
        <v>1.4523186363636362</v>
      </c>
      <c r="BR94" s="16">
        <v>0.13674600000000001</v>
      </c>
      <c r="BS94" s="16">
        <v>9.4363636363636372E-2</v>
      </c>
      <c r="BT94" s="16">
        <v>31.919090909090905</v>
      </c>
      <c r="BU94" s="16">
        <v>9.6299999999999972</v>
      </c>
      <c r="BV94" s="16">
        <v>9.4363636363636356</v>
      </c>
      <c r="BW94" s="16">
        <f>BT94*5.66</f>
        <v>180.66205454545454</v>
      </c>
      <c r="BX94" s="16">
        <f t="shared" ref="BX94:BY96" si="47">BU94*1.36</f>
        <v>13.096799999999996</v>
      </c>
      <c r="BY94" s="16">
        <f t="shared" si="47"/>
        <v>12.833454545454545</v>
      </c>
      <c r="BZ94" s="16">
        <v>7.1999999999999998E-3</v>
      </c>
      <c r="CA94" s="16">
        <f t="shared" si="41"/>
        <v>95.702554285714271</v>
      </c>
      <c r="CB94" s="9">
        <f t="shared" si="42"/>
        <v>747.37699604389991</v>
      </c>
      <c r="CC94" s="16">
        <f t="shared" si="43"/>
        <v>9.0343944674323637</v>
      </c>
      <c r="CD94" s="16">
        <f t="shared" si="44"/>
        <v>29.44448208869321</v>
      </c>
      <c r="CE94" s="17">
        <f t="shared" si="45"/>
        <v>785.85587260002546</v>
      </c>
      <c r="CF94" s="9">
        <f t="shared" si="46"/>
        <v>432.6747503828484</v>
      </c>
      <c r="CG94" s="18">
        <v>506636.36363636365</v>
      </c>
      <c r="CH94" s="9">
        <f t="shared" si="37"/>
        <v>8.6612913817531147</v>
      </c>
      <c r="CI94" s="9">
        <f t="shared" si="38"/>
        <v>0.77050549413467984</v>
      </c>
      <c r="CJ94" s="5">
        <v>65.164572310498187</v>
      </c>
      <c r="CK94" s="5">
        <v>1.8598201891501827</v>
      </c>
      <c r="CL94" s="5">
        <v>65.812448627644343</v>
      </c>
    </row>
    <row r="95" spans="1:90" x14ac:dyDescent="0.25">
      <c r="A95" s="2" t="s">
        <v>251</v>
      </c>
      <c r="B95" s="1" t="s">
        <v>93</v>
      </c>
      <c r="C95" s="1" t="s">
        <v>327</v>
      </c>
      <c r="D95" s="1" t="s">
        <v>340</v>
      </c>
      <c r="E95" s="1" t="s">
        <v>331</v>
      </c>
      <c r="F95" s="21">
        <v>48.928748891799998</v>
      </c>
      <c r="G95" s="22">
        <v>4.3298963418499994E-3</v>
      </c>
      <c r="H95" s="22">
        <v>6.7783861428500009E-5</v>
      </c>
      <c r="I95" s="22">
        <v>5080009468.9200001</v>
      </c>
      <c r="J95" s="22">
        <v>236055.05220800001</v>
      </c>
      <c r="K95" s="22">
        <f t="shared" si="27"/>
        <v>0.20727685526800929</v>
      </c>
      <c r="L95" s="22">
        <f t="shared" si="28"/>
        <v>0.18342739548885867</v>
      </c>
      <c r="M95" s="22">
        <f t="shared" si="29"/>
        <v>21.520443732946447</v>
      </c>
      <c r="N95" s="21">
        <v>45.083372090399997</v>
      </c>
      <c r="O95" s="21">
        <v>3.8453766912799998</v>
      </c>
      <c r="P95" s="22">
        <v>3.9896641811E-3</v>
      </c>
      <c r="Q95" s="22">
        <v>3.4023216422500002E-4</v>
      </c>
      <c r="R95" s="23">
        <v>42.7479859938</v>
      </c>
      <c r="S95" s="23">
        <v>2.3353861117300001</v>
      </c>
      <c r="T95" s="23">
        <v>0</v>
      </c>
      <c r="U95" s="23">
        <v>3.6386850206300001</v>
      </c>
      <c r="V95" s="23">
        <v>0.20669166450400001</v>
      </c>
      <c r="W95" s="23">
        <v>0</v>
      </c>
      <c r="X95" s="22">
        <v>3.8023146026299999E-3</v>
      </c>
      <c r="Y95" s="22">
        <v>1.8734957016199998E-4</v>
      </c>
      <c r="Z95" s="22">
        <v>0</v>
      </c>
      <c r="AA95" s="22">
        <v>3.23650926092E-4</v>
      </c>
      <c r="AB95" s="22">
        <v>1.6581238645100002E-5</v>
      </c>
      <c r="AC95" s="22">
        <v>0</v>
      </c>
      <c r="AD95" s="21">
        <v>4.8631304905899994E-2</v>
      </c>
      <c r="AE95" s="21">
        <v>0</v>
      </c>
      <c r="AF95" s="21">
        <v>42.699354702000001</v>
      </c>
      <c r="AG95" s="21">
        <v>3.6386850174400003</v>
      </c>
      <c r="AH95" s="21">
        <v>0</v>
      </c>
      <c r="AI95" s="21">
        <v>0</v>
      </c>
      <c r="AJ95" s="21">
        <v>2.6633455948900002E-3</v>
      </c>
      <c r="AK95" s="21">
        <v>0</v>
      </c>
      <c r="AL95" s="21">
        <v>2.3327227756599997</v>
      </c>
      <c r="AM95" s="21">
        <v>0.20669166501699998</v>
      </c>
      <c r="AN95" s="21">
        <v>0</v>
      </c>
      <c r="AO95" s="21">
        <v>0</v>
      </c>
      <c r="AP95" s="22">
        <v>2.13659165624E-7</v>
      </c>
      <c r="AQ95" s="22">
        <v>0</v>
      </c>
      <c r="AR95" s="22">
        <v>1.8713591046200001E-4</v>
      </c>
      <c r="AS95" s="22">
        <v>4.32561948166E-6</v>
      </c>
      <c r="AT95" s="22">
        <v>0</v>
      </c>
      <c r="AU95" s="22">
        <v>3.7979889880300002E-3</v>
      </c>
      <c r="AV95" s="22">
        <v>3.2365092579200001E-4</v>
      </c>
      <c r="AW95" s="22">
        <v>0</v>
      </c>
      <c r="AX95" s="22">
        <v>0</v>
      </c>
      <c r="AY95" s="22">
        <v>1.6581238652899999E-5</v>
      </c>
      <c r="AZ95" s="22">
        <v>0</v>
      </c>
      <c r="BA95" s="22">
        <v>0</v>
      </c>
      <c r="BB95" s="7">
        <v>27.0217220987</v>
      </c>
      <c r="BC95" s="1">
        <v>9.1573613741600002E-4</v>
      </c>
      <c r="BD95" s="9">
        <v>0.999</v>
      </c>
      <c r="BE95" s="9">
        <v>0</v>
      </c>
      <c r="BF95" s="10">
        <v>1E-3</v>
      </c>
      <c r="BG95" s="11">
        <v>-17.531049200199998</v>
      </c>
      <c r="BH95" s="12">
        <v>288.79954550000002</v>
      </c>
      <c r="BI95" s="20">
        <v>1</v>
      </c>
      <c r="BJ95" s="15">
        <v>288.79954550000002</v>
      </c>
      <c r="BK95" s="13">
        <f t="shared" si="39"/>
        <v>22993438.826882564</v>
      </c>
      <c r="BL95" s="13">
        <f t="shared" si="30"/>
        <v>5057016030.0931187</v>
      </c>
      <c r="BM95" s="14">
        <v>0.4526259048838136</v>
      </c>
      <c r="BN95" s="14">
        <v>99.547374095116197</v>
      </c>
      <c r="BO95" s="16">
        <v>8.3847850055126794E-2</v>
      </c>
      <c r="BP95" s="16">
        <v>3.0774925185068518E-2</v>
      </c>
      <c r="BQ95" s="16">
        <v>0.37301727272727275</v>
      </c>
      <c r="BR95" s="16">
        <v>4.2651636363636364E-2</v>
      </c>
      <c r="BS95" s="16">
        <v>3.5400000000000001E-2</v>
      </c>
      <c r="BT95" s="16">
        <v>8.1981818181818173</v>
      </c>
      <c r="BU95" s="16">
        <v>3.0036363636363634</v>
      </c>
      <c r="BV95" s="16">
        <v>3.5400000000000005</v>
      </c>
      <c r="BW95" s="16">
        <f>BT95*5.66</f>
        <v>46.401709090909087</v>
      </c>
      <c r="BX95" s="16">
        <f t="shared" si="47"/>
        <v>4.0849454545454549</v>
      </c>
      <c r="BY95" s="16">
        <f t="shared" si="47"/>
        <v>4.8144000000000009</v>
      </c>
      <c r="BZ95" s="16">
        <v>2.96E-3</v>
      </c>
      <c r="CA95" s="16">
        <f t="shared" si="41"/>
        <v>10.105313142857142</v>
      </c>
      <c r="CB95" s="9">
        <f t="shared" si="42"/>
        <v>5.7715270121278941</v>
      </c>
      <c r="CC95" s="16">
        <f t="shared" si="43"/>
        <v>6.9767001102535836E-2</v>
      </c>
      <c r="CD95" s="16">
        <f t="shared" si="44"/>
        <v>0.22738139470782803</v>
      </c>
      <c r="CE95" s="17">
        <f t="shared" si="45"/>
        <v>6.0686754079382581</v>
      </c>
      <c r="CF95" s="9">
        <f t="shared" si="46"/>
        <v>2.9236178925815093</v>
      </c>
      <c r="CG95" s="18">
        <v>5616763.6363636367</v>
      </c>
      <c r="CH95" s="9">
        <f t="shared" si="37"/>
        <v>3.1773564819442441</v>
      </c>
      <c r="CI95" s="9">
        <f t="shared" si="38"/>
        <v>0.41787969363621436</v>
      </c>
      <c r="CJ95" s="5">
        <v>17.584085223876116</v>
      </c>
      <c r="CK95" s="5">
        <v>0</v>
      </c>
      <c r="CL95" s="5">
        <v>17.584085223876112</v>
      </c>
    </row>
    <row r="96" spans="1:90" x14ac:dyDescent="0.25">
      <c r="A96" s="2" t="s">
        <v>252</v>
      </c>
      <c r="B96" s="1" t="s">
        <v>94</v>
      </c>
      <c r="C96" s="1" t="s">
        <v>324</v>
      </c>
      <c r="D96" s="1" t="s">
        <v>325</v>
      </c>
      <c r="E96" s="1" t="s">
        <v>326</v>
      </c>
      <c r="F96" s="21">
        <v>1.2960747480399999</v>
      </c>
      <c r="G96" s="22">
        <v>2.1182053565999999E-4</v>
      </c>
      <c r="H96" s="22">
        <v>0</v>
      </c>
      <c r="I96" s="22">
        <v>624205.296875</v>
      </c>
      <c r="J96" s="22">
        <v>1903.1354675299999</v>
      </c>
      <c r="K96" s="22">
        <f t="shared" si="27"/>
        <v>0.68102075241239723</v>
      </c>
      <c r="L96" s="22">
        <f t="shared" si="28"/>
        <v>1.1130081871413653</v>
      </c>
      <c r="M96" s="22">
        <f t="shared" si="29"/>
        <v>0.32798784297006983</v>
      </c>
      <c r="N96" s="21">
        <v>1.29369483888</v>
      </c>
      <c r="O96" s="21">
        <v>2.3799689370199999E-3</v>
      </c>
      <c r="P96" s="22">
        <v>2.11430900574E-4</v>
      </c>
      <c r="Q96" s="22">
        <v>3.8962442427900002E-7</v>
      </c>
      <c r="R96" s="23">
        <v>0.71198986843199996</v>
      </c>
      <c r="S96" s="23">
        <v>0.58170505613099999</v>
      </c>
      <c r="T96" s="23">
        <v>0</v>
      </c>
      <c r="U96" s="23">
        <v>1.3058296317500001E-3</v>
      </c>
      <c r="V96" s="23">
        <v>1.07413920341E-3</v>
      </c>
      <c r="W96" s="23">
        <v>0</v>
      </c>
      <c r="X96" s="22">
        <v>6.3329519748700001E-5</v>
      </c>
      <c r="Y96" s="22">
        <v>1.4810138893099999E-4</v>
      </c>
      <c r="Z96" s="22">
        <v>0</v>
      </c>
      <c r="AA96" s="22">
        <v>1.1614992096999999E-7</v>
      </c>
      <c r="AB96" s="22">
        <v>2.7347452566E-7</v>
      </c>
      <c r="AC96" s="22">
        <v>0</v>
      </c>
      <c r="AD96" s="21">
        <v>0.44063832226599997</v>
      </c>
      <c r="AE96" s="21">
        <v>0.18372555273399999</v>
      </c>
      <c r="AF96" s="21">
        <v>8.7625976074200002E-2</v>
      </c>
      <c r="AG96" s="21">
        <v>7.8817477417000002E-4</v>
      </c>
      <c r="AH96" s="21">
        <v>5.1765483856199999E-4</v>
      </c>
      <c r="AI96" s="21">
        <v>0</v>
      </c>
      <c r="AJ96" s="21">
        <v>0.35996731640599999</v>
      </c>
      <c r="AK96" s="21">
        <v>0.150219617188</v>
      </c>
      <c r="AL96" s="21">
        <v>7.1518091796899996E-2</v>
      </c>
      <c r="AM96" s="21">
        <v>6.4833071899399999E-4</v>
      </c>
      <c r="AN96" s="21">
        <v>4.2580852508499996E-4</v>
      </c>
      <c r="AO96" s="21">
        <v>0</v>
      </c>
      <c r="AP96" s="22">
        <v>9.1647236000000004E-5</v>
      </c>
      <c r="AQ96" s="22">
        <v>3.8245728999999998E-5</v>
      </c>
      <c r="AR96" s="22">
        <v>1.8208417999999999E-5</v>
      </c>
      <c r="AS96" s="22">
        <v>3.919355525E-5</v>
      </c>
      <c r="AT96" s="22">
        <v>1.6341877750000001E-5</v>
      </c>
      <c r="AU96" s="22">
        <v>7.7940869375000002E-6</v>
      </c>
      <c r="AV96" s="22">
        <v>7.0105958984399998E-8</v>
      </c>
      <c r="AW96" s="22">
        <v>4.6043959960899999E-8</v>
      </c>
      <c r="AX96" s="22">
        <v>0</v>
      </c>
      <c r="AY96" s="22">
        <v>1.6506419921900001E-7</v>
      </c>
      <c r="AZ96" s="22">
        <v>1.08410324219E-7</v>
      </c>
      <c r="BA96" s="22">
        <v>0</v>
      </c>
      <c r="BB96" s="7">
        <v>0</v>
      </c>
      <c r="BC96" s="1">
        <v>0</v>
      </c>
      <c r="BD96" s="9">
        <v>0.14799999999999999</v>
      </c>
      <c r="BE96" s="9">
        <v>0.19700000000000001</v>
      </c>
      <c r="BF96" s="10">
        <v>0.65500000000000003</v>
      </c>
      <c r="BG96" s="11">
        <v>-29.629253014900002</v>
      </c>
      <c r="BH96" s="15">
        <v>916.55555555555554</v>
      </c>
      <c r="BI96" s="20">
        <v>1</v>
      </c>
      <c r="BJ96" s="15">
        <v>916.55555555555554</v>
      </c>
      <c r="BK96" s="13">
        <f t="shared" si="39"/>
        <v>620717.88827781414</v>
      </c>
      <c r="BL96" s="13">
        <f t="shared" si="30"/>
        <v>3487.4085971858763</v>
      </c>
      <c r="BM96" s="14">
        <v>99.441304228809798</v>
      </c>
      <c r="BN96" s="14">
        <v>0.55869577119020275</v>
      </c>
      <c r="BO96" s="16">
        <v>7.0587394514767938</v>
      </c>
      <c r="BP96" s="16">
        <v>2.9609029535864981</v>
      </c>
      <c r="BQ96" s="16">
        <v>2.7360390909090913</v>
      </c>
      <c r="BR96" s="16">
        <v>0.20207890909090914</v>
      </c>
      <c r="BS96" s="16">
        <v>0.15901818181818184</v>
      </c>
      <c r="BT96" s="16">
        <v>60.132727272727266</v>
      </c>
      <c r="BU96" s="16">
        <v>14.230909090909091</v>
      </c>
      <c r="BV96" s="16">
        <v>15.901818181818186</v>
      </c>
      <c r="BW96" s="16">
        <f>BT96*5.66</f>
        <v>340.35123636363636</v>
      </c>
      <c r="BX96" s="16">
        <f t="shared" si="47"/>
        <v>19.354036363636364</v>
      </c>
      <c r="BY96" s="16">
        <f t="shared" si="47"/>
        <v>21.626472727272734</v>
      </c>
      <c r="BZ96" s="16">
        <v>7.1999999999999998E-3</v>
      </c>
      <c r="CA96" s="16">
        <f t="shared" si="41"/>
        <v>180.29509714285712</v>
      </c>
      <c r="CB96" s="9">
        <f t="shared" si="42"/>
        <v>485.87656557665258</v>
      </c>
      <c r="CC96" s="16">
        <f t="shared" si="43"/>
        <v>5.8733418062587912</v>
      </c>
      <c r="CD96" s="16">
        <f t="shared" si="44"/>
        <v>19.14212493582982</v>
      </c>
      <c r="CE96" s="17">
        <f t="shared" si="45"/>
        <v>510.8920323187412</v>
      </c>
      <c r="CF96" s="9">
        <f t="shared" si="46"/>
        <v>281.28578059071731</v>
      </c>
      <c r="CG96" s="18">
        <v>9657.2727272727261</v>
      </c>
      <c r="CH96" s="9">
        <f t="shared" si="37"/>
        <v>0.12667230811676536</v>
      </c>
      <c r="CI96" s="9">
        <f t="shared" si="38"/>
        <v>1.307406077768126E-2</v>
      </c>
      <c r="CJ96" s="5">
        <v>71.92906637806631</v>
      </c>
      <c r="CK96" s="5">
        <v>0</v>
      </c>
      <c r="CL96" s="5">
        <v>71.92906637806631</v>
      </c>
    </row>
    <row r="97" spans="1:90" x14ac:dyDescent="0.25">
      <c r="A97" s="2" t="s">
        <v>253</v>
      </c>
      <c r="B97" s="1" t="s">
        <v>95</v>
      </c>
      <c r="C97" s="1" t="s">
        <v>321</v>
      </c>
      <c r="D97" s="1" t="s">
        <v>342</v>
      </c>
      <c r="E97" s="1" t="s">
        <v>337</v>
      </c>
      <c r="F97" s="21">
        <v>2540.45384775</v>
      </c>
      <c r="G97" s="22">
        <v>0.23224481765899999</v>
      </c>
      <c r="H97" s="22">
        <v>2.61138164239E-6</v>
      </c>
      <c r="I97" s="22">
        <v>28954769308.099998</v>
      </c>
      <c r="J97" s="22">
        <v>2087190.3726300001</v>
      </c>
      <c r="K97" s="22">
        <f t="shared" si="27"/>
        <v>1.2171644144510199</v>
      </c>
      <c r="L97" s="22">
        <f t="shared" si="28"/>
        <v>1.112715067607158</v>
      </c>
      <c r="M97" s="22">
        <f t="shared" si="29"/>
        <v>13.872605818708832</v>
      </c>
      <c r="N97" s="21">
        <v>2540.45384775</v>
      </c>
      <c r="O97" s="21">
        <v>0</v>
      </c>
      <c r="P97" s="22">
        <v>0.23224481765899999</v>
      </c>
      <c r="Q97" s="22">
        <v>0</v>
      </c>
      <c r="R97" s="23">
        <v>2111.7864743999999</v>
      </c>
      <c r="S97" s="23">
        <v>428.66737758300002</v>
      </c>
      <c r="T97" s="23">
        <v>0</v>
      </c>
      <c r="U97" s="23">
        <v>0</v>
      </c>
      <c r="V97" s="23">
        <v>0</v>
      </c>
      <c r="W97" s="23">
        <v>0</v>
      </c>
      <c r="X97" s="22">
        <v>0.18783754064899999</v>
      </c>
      <c r="Y97" s="22">
        <v>4.4407277049799999E-2</v>
      </c>
      <c r="Z97" s="22">
        <v>0</v>
      </c>
      <c r="AA97" s="22">
        <v>0</v>
      </c>
      <c r="AB97" s="22">
        <v>0</v>
      </c>
      <c r="AC97" s="22">
        <v>0</v>
      </c>
      <c r="AD97" s="21">
        <v>0</v>
      </c>
      <c r="AE97" s="21">
        <v>0</v>
      </c>
      <c r="AF97" s="21">
        <v>2111.7864737800001</v>
      </c>
      <c r="AG97" s="21">
        <v>0</v>
      </c>
      <c r="AH97" s="21">
        <v>0</v>
      </c>
      <c r="AI97" s="21">
        <v>0</v>
      </c>
      <c r="AJ97" s="21">
        <v>0</v>
      </c>
      <c r="AK97" s="21">
        <v>0</v>
      </c>
      <c r="AL97" s="21">
        <v>428.66737742100003</v>
      </c>
      <c r="AM97" s="21">
        <v>0</v>
      </c>
      <c r="AN97" s="21">
        <v>0</v>
      </c>
      <c r="AO97" s="21">
        <v>0</v>
      </c>
      <c r="AP97" s="22">
        <v>0</v>
      </c>
      <c r="AQ97" s="22">
        <v>0</v>
      </c>
      <c r="AR97" s="22">
        <v>4.4407277047899998E-2</v>
      </c>
      <c r="AS97" s="22">
        <v>0</v>
      </c>
      <c r="AT97" s="22">
        <v>0</v>
      </c>
      <c r="AU97" s="22">
        <v>0.18783754055900001</v>
      </c>
      <c r="AV97" s="22">
        <v>0</v>
      </c>
      <c r="AW97" s="22">
        <v>0</v>
      </c>
      <c r="AX97" s="22">
        <v>0</v>
      </c>
      <c r="AY97" s="22">
        <v>0</v>
      </c>
      <c r="AZ97" s="22">
        <v>0</v>
      </c>
      <c r="BA97" s="22">
        <v>0</v>
      </c>
      <c r="BB97" s="7">
        <v>785.15926428</v>
      </c>
      <c r="BC97" s="1">
        <v>4.3838058893100003E-2</v>
      </c>
      <c r="BD97" s="9">
        <v>1</v>
      </c>
      <c r="BE97" s="9">
        <v>0</v>
      </c>
      <c r="BF97" s="10">
        <v>0</v>
      </c>
      <c r="BG97" s="11">
        <v>-25.212023345999999</v>
      </c>
      <c r="BH97" s="15">
        <v>363.55555555555554</v>
      </c>
      <c r="BI97" s="20">
        <v>1.0258064516129033</v>
      </c>
      <c r="BJ97" s="15">
        <v>372.93763440860215</v>
      </c>
      <c r="BK97" s="13">
        <f t="shared" si="39"/>
        <v>1371460904.2503908</v>
      </c>
      <c r="BL97" s="13">
        <f t="shared" si="30"/>
        <v>27583308403.849606</v>
      </c>
      <c r="BM97" s="14">
        <v>4.7365630499661044</v>
      </c>
      <c r="BN97" s="14">
        <v>95.263436950033892</v>
      </c>
      <c r="BO97" s="16">
        <v>0.2577642756900046</v>
      </c>
      <c r="BP97" s="16">
        <v>9.4607986901606086E-2</v>
      </c>
      <c r="BQ97" s="16">
        <v>0.30414681818181821</v>
      </c>
      <c r="BR97" s="16">
        <v>3.0568727272727272E-2</v>
      </c>
      <c r="BS97" s="16">
        <v>9.063636363636364E-3</v>
      </c>
      <c r="BT97" s="16">
        <v>6.6845454545454546</v>
      </c>
      <c r="BU97" s="16">
        <v>2.1527272727272728</v>
      </c>
      <c r="BV97" s="16">
        <v>0.90636363636363637</v>
      </c>
      <c r="BW97" s="16">
        <f>BT97*4</f>
        <v>26.738181818181818</v>
      </c>
      <c r="BX97" s="16">
        <f>BU97*1.29</f>
        <v>2.7770181818181818</v>
      </c>
      <c r="BY97" s="16">
        <f>BV97*1.47</f>
        <v>1.3323545454545453</v>
      </c>
      <c r="BZ97" s="16">
        <v>6.4999999999999997E-3</v>
      </c>
      <c r="CA97" s="16">
        <f t="shared" si="41"/>
        <v>18.093632142857142</v>
      </c>
      <c r="CB97" s="9">
        <f t="shared" si="42"/>
        <v>17.742774309995315</v>
      </c>
      <c r="CC97" s="16">
        <f t="shared" si="43"/>
        <v>0.21447706165912986</v>
      </c>
      <c r="CD97" s="16">
        <f t="shared" si="44"/>
        <v>0.69901375495867757</v>
      </c>
      <c r="CE97" s="17">
        <f t="shared" si="45"/>
        <v>18.656265126613125</v>
      </c>
      <c r="CF97" s="9">
        <f t="shared" si="46"/>
        <v>8.9877587556525782</v>
      </c>
      <c r="CG97" s="18">
        <v>11220181.818181818</v>
      </c>
      <c r="CH97" s="9">
        <f t="shared" si="37"/>
        <v>7.8109457792677652</v>
      </c>
      <c r="CI97" s="9">
        <f t="shared" si="38"/>
        <v>0.8592999871856184</v>
      </c>
      <c r="CJ97" s="5">
        <v>12.270824390765304</v>
      </c>
      <c r="CK97" s="5">
        <v>0</v>
      </c>
      <c r="CL97" s="5">
        <v>12.2708243907653</v>
      </c>
    </row>
    <row r="98" spans="1:90" x14ac:dyDescent="0.25">
      <c r="A98" s="2" t="s">
        <v>254</v>
      </c>
      <c r="B98" s="1" t="s">
        <v>96</v>
      </c>
      <c r="C98" s="1" t="s">
        <v>324</v>
      </c>
      <c r="D98" s="1" t="s">
        <v>325</v>
      </c>
      <c r="E98" s="1" t="s">
        <v>326</v>
      </c>
      <c r="F98" s="21">
        <v>17.287005570000002</v>
      </c>
      <c r="G98" s="22">
        <v>1.7998829867500001E-3</v>
      </c>
      <c r="H98" s="22">
        <v>2.33637373894E-8</v>
      </c>
      <c r="I98" s="22">
        <v>9102847.3017599992</v>
      </c>
      <c r="J98" s="22">
        <v>2364.1177630400002</v>
      </c>
      <c r="K98" s="22">
        <f t="shared" ref="K98:K129" si="48">F98/J98*1000</f>
        <v>7.3122438485343375</v>
      </c>
      <c r="L98" s="22">
        <f t="shared" ref="L98:L129" si="49">G98/J98*10000000</f>
        <v>7.6133389583585922</v>
      </c>
      <c r="M98" s="22">
        <f t="shared" ref="M98:M129" si="50">(I98/J98)/1000</f>
        <v>3.8504204164748206</v>
      </c>
      <c r="N98" s="21">
        <v>16.5060968839</v>
      </c>
      <c r="O98" s="21">
        <v>0.78090863211700001</v>
      </c>
      <c r="P98" s="22">
        <v>1.7215430383499999E-3</v>
      </c>
      <c r="Q98" s="22">
        <v>7.8339939473499995E-5</v>
      </c>
      <c r="R98" s="23">
        <v>7.9256040863799999</v>
      </c>
      <c r="S98" s="23">
        <v>8.5804926806200008</v>
      </c>
      <c r="T98" s="23">
        <v>0</v>
      </c>
      <c r="U98" s="23">
        <v>0.48017546700000002</v>
      </c>
      <c r="V98" s="23">
        <v>0.30073317250100001</v>
      </c>
      <c r="W98" s="23">
        <v>0</v>
      </c>
      <c r="X98" s="22">
        <v>7.0496047502800004E-4</v>
      </c>
      <c r="Y98" s="22">
        <v>1.0165825612500001E-3</v>
      </c>
      <c r="Z98" s="22">
        <v>0</v>
      </c>
      <c r="AA98" s="22">
        <v>4.2710274109E-5</v>
      </c>
      <c r="AB98" s="22">
        <v>3.5629667299399996E-5</v>
      </c>
      <c r="AC98" s="22">
        <v>0</v>
      </c>
      <c r="AD98" s="21">
        <v>4.4108718706200003</v>
      </c>
      <c r="AE98" s="21">
        <v>3.5018021826200001</v>
      </c>
      <c r="AF98" s="21">
        <v>1.2930084410100001E-2</v>
      </c>
      <c r="AG98" s="21">
        <v>0.20765968528199999</v>
      </c>
      <c r="AH98" s="21">
        <v>0.27251579324899999</v>
      </c>
      <c r="AI98" s="21">
        <v>0</v>
      </c>
      <c r="AJ98" s="21">
        <v>4.7750513919799999</v>
      </c>
      <c r="AK98" s="21">
        <v>3.7914594684199998</v>
      </c>
      <c r="AL98" s="21">
        <v>1.39818039561E-2</v>
      </c>
      <c r="AM98" s="21">
        <v>0.130056944639</v>
      </c>
      <c r="AN98" s="21">
        <v>0.17067622642299998</v>
      </c>
      <c r="AO98" s="21">
        <v>0</v>
      </c>
      <c r="AP98" s="22">
        <v>5.6572905475399989E-4</v>
      </c>
      <c r="AQ98" s="22">
        <v>4.4919700125700001E-4</v>
      </c>
      <c r="AR98" s="22">
        <v>1.65650839157E-6</v>
      </c>
      <c r="AS98" s="22">
        <v>3.9233479944800003E-4</v>
      </c>
      <c r="AT98" s="22">
        <v>3.1147557978700001E-4</v>
      </c>
      <c r="AU98" s="22">
        <v>1.15009508926E-6</v>
      </c>
      <c r="AV98" s="22">
        <v>1.8470752015E-5</v>
      </c>
      <c r="AW98" s="22">
        <v>2.4239522130600003E-5</v>
      </c>
      <c r="AX98" s="22">
        <v>0</v>
      </c>
      <c r="AY98" s="22">
        <v>1.5408628284899999E-5</v>
      </c>
      <c r="AZ98" s="22">
        <v>2.0221039011399998E-5</v>
      </c>
      <c r="BA98" s="22">
        <v>0</v>
      </c>
      <c r="BB98" s="7">
        <v>1921.4044336699999</v>
      </c>
      <c r="BC98" s="1">
        <v>3.04222368307E-2</v>
      </c>
      <c r="BD98" s="9">
        <v>2E-3</v>
      </c>
      <c r="BE98" s="9">
        <v>0.375</v>
      </c>
      <c r="BF98" s="10">
        <v>0.624</v>
      </c>
      <c r="BG98" s="11">
        <v>-28.801120086800001</v>
      </c>
      <c r="BH98" s="15">
        <v>369</v>
      </c>
      <c r="BI98" s="20">
        <v>1.1558635394456291</v>
      </c>
      <c r="BJ98" s="15">
        <v>426.51364605543716</v>
      </c>
      <c r="BK98" s="13">
        <f t="shared" si="39"/>
        <v>7727002.2431464558</v>
      </c>
      <c r="BL98" s="13">
        <f t="shared" si="30"/>
        <v>1375845.0586135448</v>
      </c>
      <c r="BM98" s="14">
        <v>84.885552695720492</v>
      </c>
      <c r="BN98" s="14">
        <v>15.114447304279514</v>
      </c>
      <c r="BO98" s="16" t="s">
        <v>390</v>
      </c>
      <c r="BP98" s="16" t="s">
        <v>390</v>
      </c>
      <c r="BQ98" s="16">
        <v>4.5665620000000002</v>
      </c>
      <c r="BR98" s="16">
        <v>0.65851080000000006</v>
      </c>
      <c r="BS98" s="16">
        <v>0.41936000000000001</v>
      </c>
      <c r="BT98" s="16">
        <v>100.364</v>
      </c>
      <c r="BU98" s="16">
        <v>46.373999999999995</v>
      </c>
      <c r="BV98" s="16">
        <v>41.936</v>
      </c>
      <c r="BW98" s="16">
        <f>BT98*5.66</f>
        <v>568.06024000000002</v>
      </c>
      <c r="BX98" s="16">
        <f>BU98*1.36</f>
        <v>63.068639999999995</v>
      </c>
      <c r="BY98" s="16">
        <f>BV98*1.36</f>
        <v>57.032960000000003</v>
      </c>
      <c r="BZ98" s="16">
        <v>7.1999999999999998E-3</v>
      </c>
      <c r="CA98" s="16">
        <f t="shared" si="41"/>
        <v>300.91994742857145</v>
      </c>
      <c r="CB98" s="9" t="s">
        <v>390</v>
      </c>
      <c r="CC98" s="9" t="s">
        <v>390</v>
      </c>
      <c r="CD98" s="9" t="s">
        <v>390</v>
      </c>
      <c r="CE98" s="9" t="s">
        <v>390</v>
      </c>
      <c r="CF98" s="9" t="s">
        <v>390</v>
      </c>
      <c r="CG98" s="18">
        <v>189200</v>
      </c>
      <c r="CH98" s="9" t="s">
        <v>447</v>
      </c>
      <c r="CI98" s="9" t="s">
        <v>447</v>
      </c>
      <c r="CJ98" s="5">
        <v>25.352811658174364</v>
      </c>
      <c r="CK98" s="5">
        <v>25.693179456906446</v>
      </c>
      <c r="CL98" s="5">
        <v>44.532047718374571</v>
      </c>
    </row>
    <row r="99" spans="1:90" x14ac:dyDescent="0.25">
      <c r="A99" s="2" t="s">
        <v>255</v>
      </c>
      <c r="B99" s="1" t="s">
        <v>97</v>
      </c>
      <c r="C99" s="1" t="s">
        <v>321</v>
      </c>
      <c r="D99" s="1" t="s">
        <v>347</v>
      </c>
      <c r="E99" s="1" t="s">
        <v>348</v>
      </c>
      <c r="F99" s="21">
        <v>259.12524116200001</v>
      </c>
      <c r="G99" s="22">
        <v>2.5382618096400002E-2</v>
      </c>
      <c r="H99" s="22">
        <v>3.1332805500799997E-5</v>
      </c>
      <c r="I99" s="22">
        <v>145301133.61399999</v>
      </c>
      <c r="J99" s="22">
        <v>84327.536544699993</v>
      </c>
      <c r="K99" s="22">
        <f t="shared" si="48"/>
        <v>3.0728425349487587</v>
      </c>
      <c r="L99" s="22">
        <f t="shared" si="49"/>
        <v>3.0100035097011628</v>
      </c>
      <c r="M99" s="22">
        <f t="shared" si="50"/>
        <v>1.7230567803552443</v>
      </c>
      <c r="N99" s="21">
        <v>151.83929987799999</v>
      </c>
      <c r="O99" s="21">
        <v>107.28594165600001</v>
      </c>
      <c r="P99" s="22">
        <v>1.4859919276500001E-2</v>
      </c>
      <c r="Q99" s="22">
        <v>1.0522698819599999E-2</v>
      </c>
      <c r="R99" s="23">
        <v>146.79162575399999</v>
      </c>
      <c r="S99" s="23">
        <v>5.04767389581</v>
      </c>
      <c r="T99" s="23">
        <v>0</v>
      </c>
      <c r="U99" s="23">
        <v>103.633490686</v>
      </c>
      <c r="V99" s="23">
        <v>3.6524509120599999</v>
      </c>
      <c r="W99" s="23">
        <v>0</v>
      </c>
      <c r="X99" s="22">
        <v>1.3056707365700001E-2</v>
      </c>
      <c r="Y99" s="22">
        <v>1.8032118736699999E-3</v>
      </c>
      <c r="Z99" s="22">
        <v>0</v>
      </c>
      <c r="AA99" s="22">
        <v>9.217911109720001E-3</v>
      </c>
      <c r="AB99" s="22">
        <v>1.3047877122699999E-3</v>
      </c>
      <c r="AC99" s="22">
        <v>0</v>
      </c>
      <c r="AD99" s="21">
        <v>0</v>
      </c>
      <c r="AE99" s="21">
        <v>124.79484657899999</v>
      </c>
      <c r="AF99" s="21">
        <v>21.9967793259</v>
      </c>
      <c r="AG99" s="21">
        <v>0</v>
      </c>
      <c r="AH99" s="21">
        <v>103.633490744</v>
      </c>
      <c r="AI99" s="21">
        <v>0</v>
      </c>
      <c r="AJ99" s="21">
        <v>0</v>
      </c>
      <c r="AK99" s="21">
        <v>4.3016389459100006</v>
      </c>
      <c r="AL99" s="21">
        <v>0.74603493971599999</v>
      </c>
      <c r="AM99" s="21">
        <v>0</v>
      </c>
      <c r="AN99" s="21">
        <v>3.6524509174899999</v>
      </c>
      <c r="AO99" s="21">
        <v>0</v>
      </c>
      <c r="AP99" s="22">
        <v>0</v>
      </c>
      <c r="AQ99" s="22">
        <v>1.5367011843699999E-3</v>
      </c>
      <c r="AR99" s="22">
        <v>2.66510692807E-4</v>
      </c>
      <c r="AS99" s="22">
        <v>0</v>
      </c>
      <c r="AT99" s="22">
        <v>1.11001549524E-2</v>
      </c>
      <c r="AU99" s="22">
        <v>1.9565524204899999E-3</v>
      </c>
      <c r="AV99" s="22">
        <v>0</v>
      </c>
      <c r="AW99" s="22">
        <v>9.2179111169399999E-3</v>
      </c>
      <c r="AX99" s="22">
        <v>0</v>
      </c>
      <c r="AY99" s="22">
        <v>0</v>
      </c>
      <c r="AZ99" s="22">
        <v>1.3047877119200001E-3</v>
      </c>
      <c r="BA99" s="22">
        <v>0</v>
      </c>
      <c r="BB99" s="7">
        <v>113.62988710400001</v>
      </c>
      <c r="BC99" s="1">
        <v>6.3443353052100001E-3</v>
      </c>
      <c r="BD99" s="9">
        <v>0.24299999999999999</v>
      </c>
      <c r="BE99" s="9">
        <v>0.75700000000000001</v>
      </c>
      <c r="BF99" s="10">
        <v>0</v>
      </c>
      <c r="BG99" s="11">
        <v>-16.237546351900001</v>
      </c>
      <c r="BH99" s="15">
        <v>1450.2222222222222</v>
      </c>
      <c r="BI99" s="20">
        <v>0.88679536679536686</v>
      </c>
      <c r="BJ99" s="15">
        <v>1286.0503474903476</v>
      </c>
      <c r="BK99" s="13">
        <f t="shared" si="39"/>
        <v>62023808.130336888</v>
      </c>
      <c r="BL99" s="13">
        <f t="shared" si="30"/>
        <v>83277325.483663097</v>
      </c>
      <c r="BM99" s="14">
        <v>42.686389698174246</v>
      </c>
      <c r="BN99" s="14">
        <v>57.313610301825754</v>
      </c>
      <c r="BO99" s="16">
        <v>0.46824605330164659</v>
      </c>
      <c r="BP99" s="16">
        <v>0.17186173824478018</v>
      </c>
      <c r="BQ99" s="16">
        <v>0.21633181818181821</v>
      </c>
      <c r="BR99" s="16">
        <v>2.1299999999999997E-4</v>
      </c>
      <c r="BS99" s="16">
        <v>1.5714285714285716E-4</v>
      </c>
      <c r="BT99" s="16">
        <v>4.7545454545454549</v>
      </c>
      <c r="BU99" s="16">
        <v>1.4999999999999999E-2</v>
      </c>
      <c r="BV99" s="16">
        <v>1.5714285714285715E-2</v>
      </c>
      <c r="BW99" s="16">
        <f>BT99*4</f>
        <v>19.018181818181819</v>
      </c>
      <c r="BX99" s="16">
        <f>BU99*1.29</f>
        <v>1.9349999999999999E-2</v>
      </c>
      <c r="BY99" s="16">
        <f>BV99*1.47</f>
        <v>2.3100000000000002E-2</v>
      </c>
      <c r="BZ99" s="16">
        <v>6.4999999999999997E-3</v>
      </c>
      <c r="CA99" s="16">
        <f t="shared" si="41"/>
        <v>12.869535714285714</v>
      </c>
      <c r="CB99" s="9">
        <f>(74.1+69.3+63.1)/3*BO99</f>
        <v>32.230936668930006</v>
      </c>
      <c r="CC99" s="16">
        <f>(0.00415+0.08+0.005)/3*BO99*28</f>
        <v>0.38961193275052342</v>
      </c>
      <c r="CD99" s="16">
        <f>(0.0286+0.002+0.0001)/3*BO99*265</f>
        <v>1.269805255545182</v>
      </c>
      <c r="CE99" s="17">
        <f>CB99+CC99+CD99</f>
        <v>33.890353857225712</v>
      </c>
      <c r="CF99" s="9">
        <f>BP99*95</f>
        <v>16.326865133254117</v>
      </c>
      <c r="CG99" s="18">
        <v>1189053.290909091</v>
      </c>
      <c r="CH99" s="9">
        <f t="shared" si="37"/>
        <v>1.0187924559946595</v>
      </c>
      <c r="CI99" s="9">
        <f t="shared" si="38"/>
        <v>9.7677620284691666E-2</v>
      </c>
      <c r="CJ99" s="5">
        <v>59.432088569333452</v>
      </c>
      <c r="CK99" s="5">
        <v>63.281223135734855</v>
      </c>
      <c r="CL99" s="5">
        <v>85.103959123280831</v>
      </c>
    </row>
    <row r="100" spans="1:90" x14ac:dyDescent="0.25">
      <c r="A100" s="2" t="s">
        <v>256</v>
      </c>
      <c r="B100" s="1" t="s">
        <v>98</v>
      </c>
      <c r="C100" s="1" t="s">
        <v>327</v>
      </c>
      <c r="D100" s="1" t="s">
        <v>345</v>
      </c>
      <c r="E100" s="1" t="s">
        <v>331</v>
      </c>
      <c r="F100" s="21">
        <v>1080.88757715</v>
      </c>
      <c r="G100" s="22">
        <v>8.7261169267100008E-2</v>
      </c>
      <c r="H100" s="22">
        <v>6.29054829609E-5</v>
      </c>
      <c r="I100" s="22">
        <v>1271346459.52</v>
      </c>
      <c r="J100" s="22">
        <v>119358.306115</v>
      </c>
      <c r="K100" s="22">
        <f t="shared" si="48"/>
        <v>9.0558220230486555</v>
      </c>
      <c r="L100" s="22">
        <f t="shared" si="49"/>
        <v>7.3108585491339948</v>
      </c>
      <c r="M100" s="22">
        <f t="shared" si="50"/>
        <v>10.651512248297793</v>
      </c>
      <c r="N100" s="21">
        <v>19.521897374800002</v>
      </c>
      <c r="O100" s="21">
        <v>1061.3656743399999</v>
      </c>
      <c r="P100" s="22">
        <v>1.5778445441E-3</v>
      </c>
      <c r="Q100" s="22">
        <v>8.5683324585600004E-2</v>
      </c>
      <c r="R100" s="23">
        <v>17.643201378299999</v>
      </c>
      <c r="S100" s="23">
        <v>1.8786959137699999</v>
      </c>
      <c r="T100" s="23">
        <v>0</v>
      </c>
      <c r="U100" s="23">
        <v>958.02988625399996</v>
      </c>
      <c r="V100" s="23">
        <v>103.335793106</v>
      </c>
      <c r="W100" s="23">
        <v>0</v>
      </c>
      <c r="X100" s="22">
        <v>1.5693137566400001E-3</v>
      </c>
      <c r="Y100" s="22">
        <v>8.5307842276900009E-6</v>
      </c>
      <c r="Z100" s="22">
        <v>0</v>
      </c>
      <c r="AA100" s="22">
        <v>8.5214097232000005E-2</v>
      </c>
      <c r="AB100" s="22">
        <v>4.6922727088400003E-4</v>
      </c>
      <c r="AC100" s="22">
        <v>0</v>
      </c>
      <c r="AD100" s="21">
        <v>1.1807716530599999</v>
      </c>
      <c r="AE100" s="21">
        <v>10.952159718000001</v>
      </c>
      <c r="AF100" s="21">
        <v>5.5102700354099996</v>
      </c>
      <c r="AG100" s="21">
        <v>65.402924843500003</v>
      </c>
      <c r="AH100" s="21">
        <v>892.62695980700005</v>
      </c>
      <c r="AI100" s="21">
        <v>0</v>
      </c>
      <c r="AJ100" s="21">
        <v>0.125941434977</v>
      </c>
      <c r="AK100" s="21">
        <v>1.1638446008400001</v>
      </c>
      <c r="AL100" s="21">
        <v>0.58890988244599995</v>
      </c>
      <c r="AM100" s="21">
        <v>7.05454313086</v>
      </c>
      <c r="AN100" s="21">
        <v>96.281250159500004</v>
      </c>
      <c r="AO100" s="21">
        <v>0</v>
      </c>
      <c r="AP100" s="22">
        <v>5.7187498864999994E-7</v>
      </c>
      <c r="AQ100" s="22">
        <v>5.2847866953800005E-6</v>
      </c>
      <c r="AR100" s="22">
        <v>2.6741225520199997E-6</v>
      </c>
      <c r="AS100" s="22">
        <v>1.05026358787E-4</v>
      </c>
      <c r="AT100" s="22">
        <v>9.7416418495399994E-4</v>
      </c>
      <c r="AU100" s="22">
        <v>4.9012321244300001E-4</v>
      </c>
      <c r="AV100" s="22">
        <v>5.8174085116200003E-3</v>
      </c>
      <c r="AW100" s="22">
        <v>7.9396688716999994E-2</v>
      </c>
      <c r="AX100" s="22">
        <v>0</v>
      </c>
      <c r="AY100" s="22">
        <v>3.2033276318100003E-5</v>
      </c>
      <c r="AZ100" s="22">
        <v>4.3719399413E-4</v>
      </c>
      <c r="BA100" s="22">
        <v>0</v>
      </c>
      <c r="BB100" s="7">
        <v>1880.93840168</v>
      </c>
      <c r="BC100" s="1">
        <v>6.3742912626299997E-2</v>
      </c>
      <c r="BD100" s="9">
        <v>0.42</v>
      </c>
      <c r="BE100" s="9">
        <v>0.5</v>
      </c>
      <c r="BF100" s="10">
        <v>0.08</v>
      </c>
      <c r="BG100" s="11">
        <v>-20.737795341599998</v>
      </c>
      <c r="BH100" s="15">
        <v>1.7777777777777777</v>
      </c>
      <c r="BI100" s="20">
        <v>9.1951219512195124</v>
      </c>
      <c r="BJ100" s="15">
        <v>16.346883468834687</v>
      </c>
      <c r="BK100" s="13">
        <f t="shared" si="39"/>
        <v>9803512.1732255127</v>
      </c>
      <c r="BL100" s="13">
        <f t="shared" si="30"/>
        <v>1261542947.3467743</v>
      </c>
      <c r="BM100" s="14">
        <v>0.77111255549701641</v>
      </c>
      <c r="BN100" s="14">
        <v>99.228887444502973</v>
      </c>
      <c r="BO100" s="16">
        <v>0.11232558139534884</v>
      </c>
      <c r="BP100" s="16">
        <v>4.1227191413237926E-2</v>
      </c>
      <c r="BQ100" s="16">
        <v>0.14448318181818184</v>
      </c>
      <c r="BR100" s="16">
        <v>8.5587272727272717E-3</v>
      </c>
      <c r="BS100" s="16">
        <v>6.4454545454545459E-3</v>
      </c>
      <c r="BT100" s="16">
        <v>3.1754545454545453</v>
      </c>
      <c r="BU100" s="16">
        <v>0.60272727272727267</v>
      </c>
      <c r="BV100" s="16">
        <v>0.64454545454545453</v>
      </c>
      <c r="BW100" s="16">
        <f>BT100*5.66</f>
        <v>17.973072727272726</v>
      </c>
      <c r="BX100" s="16">
        <f>BU100*1.36</f>
        <v>0.81970909090909083</v>
      </c>
      <c r="BY100" s="16">
        <f>BV100*1.36</f>
        <v>0.87658181818181824</v>
      </c>
      <c r="BZ100" s="16">
        <v>2.96E-3</v>
      </c>
      <c r="CA100" s="16">
        <f t="shared" si="41"/>
        <v>3.9141559999999993</v>
      </c>
      <c r="CB100" s="9">
        <f>(74.1+69.3+63.1)/3*BO100</f>
        <v>7.7317441860465115</v>
      </c>
      <c r="CC100" s="16">
        <f>(0.00415+0.08+0.005)/3*BO100*28</f>
        <v>9.3462372093023272E-2</v>
      </c>
      <c r="CD100" s="16">
        <f>(0.0286+0.002+0.0001)/3*BO100*265</f>
        <v>0.30460825581395351</v>
      </c>
      <c r="CE100" s="17">
        <f>CB100+CC100+CD100</f>
        <v>8.1298148139534891</v>
      </c>
      <c r="CF100" s="9">
        <f>BP100*95</f>
        <v>3.9165831842576031</v>
      </c>
      <c r="CG100" s="18">
        <v>5083636.3636363642</v>
      </c>
      <c r="CH100" s="9">
        <f t="shared" si="37"/>
        <v>1.5913822209092388</v>
      </c>
      <c r="CI100" s="9">
        <f t="shared" si="38"/>
        <v>0.18112954492049263</v>
      </c>
      <c r="CJ100" s="5">
        <v>0</v>
      </c>
      <c r="CK100" s="5">
        <v>0</v>
      </c>
      <c r="CL100" s="5">
        <v>0</v>
      </c>
    </row>
    <row r="101" spans="1:90" x14ac:dyDescent="0.25">
      <c r="A101" s="2" t="s">
        <v>257</v>
      </c>
      <c r="B101" s="1" t="s">
        <v>99</v>
      </c>
      <c r="C101" s="1" t="s">
        <v>327</v>
      </c>
      <c r="D101" s="1" t="s">
        <v>340</v>
      </c>
      <c r="E101" s="1" t="s">
        <v>331</v>
      </c>
      <c r="F101" s="21">
        <v>990.42715174399996</v>
      </c>
      <c r="G101" s="22">
        <v>9.0802699123799999E-2</v>
      </c>
      <c r="H101" s="22">
        <v>6.27720880508E-6</v>
      </c>
      <c r="I101" s="22">
        <v>1197638233.8800001</v>
      </c>
      <c r="J101" s="22">
        <v>45998.072010299999</v>
      </c>
      <c r="K101" s="22">
        <f t="shared" si="48"/>
        <v>21.531927501705312</v>
      </c>
      <c r="L101" s="22">
        <f t="shared" si="49"/>
        <v>19.740544582709305</v>
      </c>
      <c r="M101" s="22">
        <f t="shared" si="50"/>
        <v>26.036705051720912</v>
      </c>
      <c r="N101" s="21">
        <v>953.43202781699995</v>
      </c>
      <c r="O101" s="21">
        <v>36.995121573600002</v>
      </c>
      <c r="P101" s="22">
        <v>8.7387928571100004E-2</v>
      </c>
      <c r="Q101" s="22">
        <v>3.4147708108699997E-3</v>
      </c>
      <c r="R101" s="23">
        <v>922.34674614300002</v>
      </c>
      <c r="S101" s="23">
        <v>31.0852799922</v>
      </c>
      <c r="T101" s="23">
        <v>0</v>
      </c>
      <c r="U101" s="23">
        <v>35.500823367700001</v>
      </c>
      <c r="V101" s="23">
        <v>1.4942984070500001</v>
      </c>
      <c r="W101" s="23">
        <v>0</v>
      </c>
      <c r="X101" s="22">
        <v>8.2040181261299999E-2</v>
      </c>
      <c r="Y101" s="22">
        <v>5.34774670773E-3</v>
      </c>
      <c r="Z101" s="22">
        <v>0</v>
      </c>
      <c r="AA101" s="22">
        <v>3.1576996407100002E-3</v>
      </c>
      <c r="AB101" s="22">
        <v>2.5707117217299997E-4</v>
      </c>
      <c r="AC101" s="22">
        <v>0</v>
      </c>
      <c r="AD101" s="21">
        <v>0</v>
      </c>
      <c r="AE101" s="21">
        <v>36.9444264678</v>
      </c>
      <c r="AF101" s="21">
        <v>885.40232005799999</v>
      </c>
      <c r="AG101" s="21">
        <v>0</v>
      </c>
      <c r="AH101" s="21">
        <v>35.500823369499997</v>
      </c>
      <c r="AI101" s="21">
        <v>0</v>
      </c>
      <c r="AJ101" s="21">
        <v>0</v>
      </c>
      <c r="AK101" s="21">
        <v>1.2458418068399999</v>
      </c>
      <c r="AL101" s="21">
        <v>29.839438131999998</v>
      </c>
      <c r="AM101" s="21">
        <v>0</v>
      </c>
      <c r="AN101" s="21">
        <v>1.49429840579</v>
      </c>
      <c r="AO101" s="21">
        <v>0</v>
      </c>
      <c r="AP101" s="22">
        <v>0</v>
      </c>
      <c r="AQ101" s="22">
        <v>2.14328017129E-4</v>
      </c>
      <c r="AR101" s="22">
        <v>5.1334186882399995E-3</v>
      </c>
      <c r="AS101" s="22">
        <v>0</v>
      </c>
      <c r="AT101" s="22">
        <v>3.2861041161799998E-3</v>
      </c>
      <c r="AU101" s="22">
        <v>7.8754077138499995E-2</v>
      </c>
      <c r="AV101" s="22">
        <v>0</v>
      </c>
      <c r="AW101" s="22">
        <v>3.1576996268800001E-3</v>
      </c>
      <c r="AX101" s="22">
        <v>0</v>
      </c>
      <c r="AY101" s="22">
        <v>0</v>
      </c>
      <c r="AZ101" s="22">
        <v>2.5707117165700002E-4</v>
      </c>
      <c r="BA101" s="22">
        <v>0</v>
      </c>
      <c r="BB101" s="7">
        <v>509.73372860400002</v>
      </c>
      <c r="BC101" s="1">
        <v>1.7274309676600003E-2</v>
      </c>
      <c r="BD101" s="9">
        <v>0.97099999999999997</v>
      </c>
      <c r="BE101" s="9">
        <v>2.9000000000000001E-2</v>
      </c>
      <c r="BF101" s="10">
        <v>0</v>
      </c>
      <c r="BG101" s="11">
        <v>-35.738896535599999</v>
      </c>
      <c r="BH101" s="12">
        <v>619.32490910000001</v>
      </c>
      <c r="BI101" s="20">
        <v>1</v>
      </c>
      <c r="BJ101" s="15">
        <v>619.32490910000001</v>
      </c>
      <c r="BK101" s="13">
        <f t="shared" si="39"/>
        <v>14743240.841156688</v>
      </c>
      <c r="BL101" s="13">
        <f t="shared" si="30"/>
        <v>1182894993.0388432</v>
      </c>
      <c r="BM101" s="14">
        <v>1.2310262334722621</v>
      </c>
      <c r="BN101" s="14">
        <v>98.768973766527722</v>
      </c>
      <c r="BO101" s="16" t="s">
        <v>390</v>
      </c>
      <c r="BP101" s="16" t="s">
        <v>390</v>
      </c>
      <c r="BQ101" s="16" t="s">
        <v>390</v>
      </c>
      <c r="BR101" s="16" t="s">
        <v>390</v>
      </c>
      <c r="BS101" s="16" t="s">
        <v>390</v>
      </c>
      <c r="BT101" s="16" t="s">
        <v>390</v>
      </c>
      <c r="BU101" s="16" t="s">
        <v>390</v>
      </c>
      <c r="BV101" s="16" t="s">
        <v>390</v>
      </c>
      <c r="BW101" s="16" t="s">
        <v>390</v>
      </c>
      <c r="BX101" s="16" t="s">
        <v>390</v>
      </c>
      <c r="BY101" s="16" t="s">
        <v>390</v>
      </c>
      <c r="BZ101" s="16" t="s">
        <v>390</v>
      </c>
      <c r="CA101" s="16" t="s">
        <v>390</v>
      </c>
      <c r="CB101" s="16" t="s">
        <v>390</v>
      </c>
      <c r="CC101" s="16" t="s">
        <v>390</v>
      </c>
      <c r="CD101" s="16" t="s">
        <v>390</v>
      </c>
      <c r="CE101" s="16" t="s">
        <v>390</v>
      </c>
      <c r="CF101" s="16" t="s">
        <v>390</v>
      </c>
      <c r="CG101" s="18">
        <v>427545.45454545459</v>
      </c>
      <c r="CH101" s="9" t="s">
        <v>447</v>
      </c>
      <c r="CI101" s="9" t="s">
        <v>447</v>
      </c>
      <c r="CJ101" s="5">
        <v>64.309585408751957</v>
      </c>
      <c r="CK101" s="5">
        <v>23.607452435170778</v>
      </c>
      <c r="CL101" s="5">
        <v>72.735183057296098</v>
      </c>
    </row>
    <row r="102" spans="1:90" x14ac:dyDescent="0.25">
      <c r="A102" s="2" t="s">
        <v>258</v>
      </c>
      <c r="B102" s="1" t="s">
        <v>100</v>
      </c>
      <c r="C102" s="1" t="s">
        <v>327</v>
      </c>
      <c r="D102" s="1" t="s">
        <v>345</v>
      </c>
      <c r="E102" s="1" t="s">
        <v>331</v>
      </c>
      <c r="F102" s="21">
        <v>62.553238749499997</v>
      </c>
      <c r="G102" s="22">
        <v>5.5639369354199995E-3</v>
      </c>
      <c r="H102" s="22">
        <v>0</v>
      </c>
      <c r="I102" s="22">
        <v>39377448.75</v>
      </c>
      <c r="J102" s="22">
        <v>17016.832305899999</v>
      </c>
      <c r="K102" s="22">
        <f t="shared" si="48"/>
        <v>3.6759625778184239</v>
      </c>
      <c r="L102" s="22">
        <f t="shared" si="49"/>
        <v>3.2696666661578937</v>
      </c>
      <c r="M102" s="22">
        <f t="shared" si="50"/>
        <v>2.314029311809533</v>
      </c>
      <c r="N102" s="21">
        <v>18.882292747499999</v>
      </c>
      <c r="O102" s="21">
        <v>43.670946121199997</v>
      </c>
      <c r="P102" s="22">
        <v>1.6795275268600002E-3</v>
      </c>
      <c r="Q102" s="22">
        <v>3.8844093398999998E-3</v>
      </c>
      <c r="R102" s="23">
        <v>18.882292747499999</v>
      </c>
      <c r="S102" s="23">
        <v>0</v>
      </c>
      <c r="T102" s="23">
        <v>0</v>
      </c>
      <c r="U102" s="23">
        <v>43.670946121199997</v>
      </c>
      <c r="V102" s="23">
        <v>0</v>
      </c>
      <c r="W102" s="23">
        <v>0</v>
      </c>
      <c r="X102" s="22">
        <v>1.6795275268600002E-3</v>
      </c>
      <c r="Y102" s="22">
        <v>0</v>
      </c>
      <c r="Z102" s="22">
        <v>0</v>
      </c>
      <c r="AA102" s="22">
        <v>3.8844093398999998E-3</v>
      </c>
      <c r="AB102" s="22">
        <v>0</v>
      </c>
      <c r="AC102" s="22">
        <v>0</v>
      </c>
      <c r="AD102" s="21">
        <v>0.86500692578100002</v>
      </c>
      <c r="AE102" s="21">
        <v>17.1484149375</v>
      </c>
      <c r="AF102" s="21">
        <v>0.86887119726599993</v>
      </c>
      <c r="AG102" s="21">
        <v>2.0441118710900001</v>
      </c>
      <c r="AH102" s="21">
        <v>41.626835</v>
      </c>
      <c r="AI102" s="21">
        <v>0</v>
      </c>
      <c r="AJ102" s="21">
        <v>0</v>
      </c>
      <c r="AK102" s="21">
        <v>0</v>
      </c>
      <c r="AL102" s="21">
        <v>0</v>
      </c>
      <c r="AM102" s="21">
        <v>0</v>
      </c>
      <c r="AN102" s="21">
        <v>0</v>
      </c>
      <c r="AO102" s="21">
        <v>0</v>
      </c>
      <c r="AP102" s="22">
        <v>0</v>
      </c>
      <c r="AQ102" s="22">
        <v>0</v>
      </c>
      <c r="AR102" s="22">
        <v>0</v>
      </c>
      <c r="AS102" s="22">
        <v>7.6939962249999994E-5</v>
      </c>
      <c r="AT102" s="22">
        <v>1.5253038879999999E-3</v>
      </c>
      <c r="AU102" s="22">
        <v>7.7283679624999993E-5</v>
      </c>
      <c r="AV102" s="22">
        <v>1.8181807349999999E-4</v>
      </c>
      <c r="AW102" s="22">
        <v>3.7025912800000001E-3</v>
      </c>
      <c r="AX102" s="22">
        <v>0</v>
      </c>
      <c r="AY102" s="22">
        <v>0</v>
      </c>
      <c r="AZ102" s="22">
        <v>0</v>
      </c>
      <c r="BA102" s="22">
        <v>0</v>
      </c>
      <c r="BB102" s="7">
        <v>607.28927230800002</v>
      </c>
      <c r="BC102" s="1">
        <v>2.0580358642600001E-2</v>
      </c>
      <c r="BD102" s="9">
        <v>0.112</v>
      </c>
      <c r="BE102" s="9">
        <v>0.80200000000000005</v>
      </c>
      <c r="BF102" s="10">
        <v>8.5999999999999993E-2</v>
      </c>
      <c r="BG102" s="11">
        <v>0</v>
      </c>
      <c r="BH102" s="12">
        <v>624.82818180000004</v>
      </c>
      <c r="BI102" s="20">
        <v>1</v>
      </c>
      <c r="BJ102" s="15">
        <v>624.82818180000004</v>
      </c>
      <c r="BK102" s="13">
        <f t="shared" si="39"/>
        <v>9844362.3621202838</v>
      </c>
      <c r="BL102" s="13">
        <f t="shared" si="30"/>
        <v>29533086.387879714</v>
      </c>
      <c r="BM102" s="14">
        <v>25.000000443452507</v>
      </c>
      <c r="BN102" s="14">
        <v>74.999999556547493</v>
      </c>
      <c r="BO102" s="16">
        <v>0</v>
      </c>
      <c r="BP102" s="16">
        <v>0</v>
      </c>
      <c r="BQ102" s="16">
        <v>4.6527472727272725</v>
      </c>
      <c r="BR102" s="16">
        <v>0.64861727272727254</v>
      </c>
      <c r="BS102" s="16">
        <v>1.271927272727273</v>
      </c>
      <c r="BT102" s="16">
        <v>102.25818181818181</v>
      </c>
      <c r="BU102" s="16">
        <v>45.677272727272729</v>
      </c>
      <c r="BV102" s="16">
        <v>127.19272727272727</v>
      </c>
      <c r="BW102" s="16">
        <f>BT102*5.66</f>
        <v>578.78130909090908</v>
      </c>
      <c r="BX102" s="16">
        <f>BU102*1.36</f>
        <v>62.121090909090917</v>
      </c>
      <c r="BY102" s="16">
        <f>BV102*1.36</f>
        <v>172.98210909090909</v>
      </c>
      <c r="BZ102" s="16">
        <v>2.96E-3</v>
      </c>
      <c r="CA102" s="16">
        <f t="shared" ref="CA102:CA119" si="51">(BT102*BZ102)*(44/28)*265</f>
        <v>126.04635657142856</v>
      </c>
      <c r="CB102" s="9">
        <f t="shared" ref="CB102:CB119" si="52">(74.1+69.3+63.1)/3*BO102</f>
        <v>0</v>
      </c>
      <c r="CC102" s="16">
        <f t="shared" ref="CC102:CC119" si="53">(0.00415+0.08+0.005)/3*BO102*28</f>
        <v>0</v>
      </c>
      <c r="CD102" s="16">
        <f t="shared" ref="CD102:CD119" si="54">(0.0286+0.002+0.0001)/3*BO102*265</f>
        <v>0</v>
      </c>
      <c r="CE102" s="17">
        <f t="shared" ref="CE102:CE119" si="55">CB102+CC102+CD102</f>
        <v>0</v>
      </c>
      <c r="CF102" s="9">
        <f t="shared" ref="CF102:CF119" si="56">BP102*95</f>
        <v>0</v>
      </c>
      <c r="CG102" s="18">
        <v>88909.090909090912</v>
      </c>
      <c r="CH102" s="9">
        <f t="shared" si="37"/>
        <v>0.58442539983471076</v>
      </c>
      <c r="CI102" s="9">
        <f t="shared" si="38"/>
        <v>8.3568398783433293E-2</v>
      </c>
      <c r="CJ102" s="5">
        <v>61.905647126827503</v>
      </c>
      <c r="CK102" s="5">
        <v>0</v>
      </c>
      <c r="CL102" s="5">
        <v>61.905647126827503</v>
      </c>
    </row>
    <row r="103" spans="1:90" x14ac:dyDescent="0.25">
      <c r="A103" s="2" t="s">
        <v>259</v>
      </c>
      <c r="B103" s="1" t="s">
        <v>101</v>
      </c>
      <c r="C103" s="1" t="s">
        <v>327</v>
      </c>
      <c r="D103" s="1" t="s">
        <v>345</v>
      </c>
      <c r="E103" s="1" t="s">
        <v>331</v>
      </c>
      <c r="F103" s="21">
        <v>1355.1279182400001</v>
      </c>
      <c r="G103" s="22">
        <v>0.10413727276599999</v>
      </c>
      <c r="H103" s="22">
        <v>9.5275922678399997E-8</v>
      </c>
      <c r="I103" s="22">
        <v>1002612955.65</v>
      </c>
      <c r="J103" s="22">
        <v>59262.421458700002</v>
      </c>
      <c r="K103" s="22">
        <f t="shared" si="48"/>
        <v>22.866563412100685</v>
      </c>
      <c r="L103" s="22">
        <f t="shared" si="49"/>
        <v>17.572227088049935</v>
      </c>
      <c r="M103" s="22">
        <f t="shared" si="50"/>
        <v>16.918190836139242</v>
      </c>
      <c r="N103" s="21">
        <v>2.0039369410000001</v>
      </c>
      <c r="O103" s="21">
        <v>1353.12397775</v>
      </c>
      <c r="P103" s="22">
        <v>1.5404179559500001E-4</v>
      </c>
      <c r="Q103" s="22">
        <v>0.103983231385</v>
      </c>
      <c r="R103" s="23">
        <v>1.6004155021499999</v>
      </c>
      <c r="S103" s="23">
        <v>0.4035214359</v>
      </c>
      <c r="T103" s="23">
        <v>0</v>
      </c>
      <c r="U103" s="23">
        <v>1080.1388146899999</v>
      </c>
      <c r="V103" s="23">
        <v>272.98517248399997</v>
      </c>
      <c r="W103" s="23">
        <v>0</v>
      </c>
      <c r="X103" s="22">
        <v>1.42352512595E-4</v>
      </c>
      <c r="Y103" s="22">
        <v>1.1689282277800001E-5</v>
      </c>
      <c r="Z103" s="22">
        <v>0</v>
      </c>
      <c r="AA103" s="22">
        <v>9.60753467862E-2</v>
      </c>
      <c r="AB103" s="22">
        <v>7.9078841027E-3</v>
      </c>
      <c r="AC103" s="22">
        <v>0</v>
      </c>
      <c r="AD103" s="21">
        <v>0.11581539825100001</v>
      </c>
      <c r="AE103" s="21">
        <v>1.3640793422600002</v>
      </c>
      <c r="AF103" s="21">
        <v>0.12052076245599999</v>
      </c>
      <c r="AG103" s="21">
        <v>58.975024308399995</v>
      </c>
      <c r="AH103" s="21">
        <v>1021.16378428</v>
      </c>
      <c r="AI103" s="21">
        <v>0</v>
      </c>
      <c r="AJ103" s="21">
        <v>2.9005705059100002E-2</v>
      </c>
      <c r="AK103" s="21">
        <v>0.34443029347299997</v>
      </c>
      <c r="AL103" s="21">
        <v>3.00854366252E-2</v>
      </c>
      <c r="AM103" s="21">
        <v>14.904850358899999</v>
      </c>
      <c r="AN103" s="21">
        <v>258.08032264100001</v>
      </c>
      <c r="AO103" s="21">
        <v>0</v>
      </c>
      <c r="AP103" s="22">
        <v>8.4024253568500004E-7</v>
      </c>
      <c r="AQ103" s="22">
        <v>9.9775193839200001E-6</v>
      </c>
      <c r="AR103" s="22">
        <v>8.7152039205699992E-7</v>
      </c>
      <c r="AS103" s="22">
        <v>1.0301457967499999E-5</v>
      </c>
      <c r="AT103" s="22">
        <v>1.2133106808599999E-4</v>
      </c>
      <c r="AU103" s="22">
        <v>1.0719987091800001E-5</v>
      </c>
      <c r="AV103" s="22">
        <v>5.2456646023999994E-3</v>
      </c>
      <c r="AW103" s="22">
        <v>9.0829681986399999E-2</v>
      </c>
      <c r="AX103" s="22">
        <v>0</v>
      </c>
      <c r="AY103" s="22">
        <v>4.3176641668599998E-4</v>
      </c>
      <c r="AZ103" s="22">
        <v>7.4761176983800005E-3</v>
      </c>
      <c r="BA103" s="22">
        <v>0</v>
      </c>
      <c r="BB103" s="7">
        <v>869.54924544699998</v>
      </c>
      <c r="BC103" s="1">
        <v>2.9468057832700002E-2</v>
      </c>
      <c r="BD103" s="9">
        <v>0.11600000000000001</v>
      </c>
      <c r="BE103" s="9">
        <v>0.78500000000000003</v>
      </c>
      <c r="BF103" s="10">
        <v>9.9000000000000005E-2</v>
      </c>
      <c r="BG103" s="11">
        <v>-24.480463466700002</v>
      </c>
      <c r="BH103" s="12">
        <v>104.2854545</v>
      </c>
      <c r="BI103" s="20">
        <v>1</v>
      </c>
      <c r="BJ103" s="15">
        <v>104.2854545</v>
      </c>
      <c r="BK103" s="13">
        <f t="shared" si="39"/>
        <v>566393.61435883318</v>
      </c>
      <c r="BL103" s="13">
        <f t="shared" si="30"/>
        <v>1002046562.0356412</v>
      </c>
      <c r="BM103" s="14">
        <v>5.6491750995940081E-2</v>
      </c>
      <c r="BN103" s="14">
        <v>99.943508249004068</v>
      </c>
      <c r="BO103" s="16">
        <v>4.2364622897449813E-2</v>
      </c>
      <c r="BP103" s="16">
        <v>1.5549213239283778E-2</v>
      </c>
      <c r="BQ103" s="16">
        <v>0.92435318181818182</v>
      </c>
      <c r="BR103" s="16">
        <v>7.843563636363636E-2</v>
      </c>
      <c r="BS103" s="16">
        <v>3.2209090909090909E-2</v>
      </c>
      <c r="BT103" s="16">
        <v>20.315454545454546</v>
      </c>
      <c r="BU103" s="16">
        <v>5.5236363636363635</v>
      </c>
      <c r="BV103" s="16">
        <v>3.2209090909090907</v>
      </c>
      <c r="BW103" s="16">
        <f>BT103*5.66</f>
        <v>114.98547272727274</v>
      </c>
      <c r="BX103" s="16">
        <f>BU103*1.36</f>
        <v>7.5121454545454549</v>
      </c>
      <c r="BY103" s="16">
        <f>BV103*1.36</f>
        <v>4.3804363636363641</v>
      </c>
      <c r="BZ103" s="16">
        <v>2.96E-3</v>
      </c>
      <c r="CA103" s="16">
        <f t="shared" si="51"/>
        <v>25.041409714285713</v>
      </c>
      <c r="CB103" s="9">
        <f t="shared" si="52"/>
        <v>2.9160982094411287</v>
      </c>
      <c r="CC103" s="16">
        <f t="shared" si="53"/>
        <v>3.5250190558871415E-2</v>
      </c>
      <c r="CD103" s="16">
        <f t="shared" si="54"/>
        <v>0.11488579652740098</v>
      </c>
      <c r="CE103" s="17">
        <f t="shared" si="55"/>
        <v>3.0662341965274011</v>
      </c>
      <c r="CF103" s="9">
        <f t="shared" si="56"/>
        <v>1.4771752577319588</v>
      </c>
      <c r="CG103" s="18">
        <v>3277727.2727272725</v>
      </c>
      <c r="CH103" s="9">
        <f t="shared" si="37"/>
        <v>3.5822666340166052</v>
      </c>
      <c r="CI103" s="9">
        <f t="shared" si="38"/>
        <v>0.51284262834165972</v>
      </c>
      <c r="CJ103" s="5">
        <v>0</v>
      </c>
      <c r="CK103" s="5">
        <v>31.774362357265844</v>
      </c>
      <c r="CL103" s="5">
        <v>31.774362357265851</v>
      </c>
    </row>
    <row r="104" spans="1:90" x14ac:dyDescent="0.25">
      <c r="A104" s="2" t="s">
        <v>260</v>
      </c>
      <c r="B104" s="1" t="s">
        <v>102</v>
      </c>
      <c r="C104" s="1" t="s">
        <v>321</v>
      </c>
      <c r="D104" s="1" t="s">
        <v>342</v>
      </c>
      <c r="E104" s="1" t="s">
        <v>337</v>
      </c>
      <c r="F104" s="21">
        <v>130.68301550800001</v>
      </c>
      <c r="G104" s="22">
        <v>1.52981623873E-2</v>
      </c>
      <c r="H104" s="22">
        <v>1.05741037242E-6</v>
      </c>
      <c r="I104" s="22">
        <v>1773535860.6800001</v>
      </c>
      <c r="J104" s="22">
        <v>355393.31686399999</v>
      </c>
      <c r="K104" s="22">
        <f t="shared" si="48"/>
        <v>0.3677137675551988</v>
      </c>
      <c r="L104" s="22">
        <f t="shared" si="49"/>
        <v>0.43045723319423645</v>
      </c>
      <c r="M104" s="22">
        <f t="shared" si="50"/>
        <v>4.990346684990385</v>
      </c>
      <c r="N104" s="21">
        <v>107.12119995499999</v>
      </c>
      <c r="O104" s="21">
        <v>23.561815223499998</v>
      </c>
      <c r="P104" s="22">
        <v>1.25319576193E-2</v>
      </c>
      <c r="Q104" s="22">
        <v>2.7662048242300002E-3</v>
      </c>
      <c r="R104" s="23">
        <v>68.502285469399993</v>
      </c>
      <c r="S104" s="23">
        <v>38.618914303399997</v>
      </c>
      <c r="T104" s="23">
        <v>0</v>
      </c>
      <c r="U104" s="23">
        <v>14.942161052199999</v>
      </c>
      <c r="V104" s="23">
        <v>8.6196541817999996</v>
      </c>
      <c r="W104" s="23">
        <v>0</v>
      </c>
      <c r="X104" s="22">
        <v>6.0930880302799998E-3</v>
      </c>
      <c r="Y104" s="22">
        <v>6.4388696065400004E-3</v>
      </c>
      <c r="Z104" s="22">
        <v>0</v>
      </c>
      <c r="AA104" s="22">
        <v>1.3290637197200001E-3</v>
      </c>
      <c r="AB104" s="22">
        <v>1.43714110882E-3</v>
      </c>
      <c r="AC104" s="22">
        <v>0</v>
      </c>
      <c r="AD104" s="21">
        <v>1.00798017876</v>
      </c>
      <c r="AE104" s="21">
        <v>0.70772169312800004</v>
      </c>
      <c r="AF104" s="21">
        <v>66.786583769399996</v>
      </c>
      <c r="AG104" s="21">
        <v>8.1212503925299995</v>
      </c>
      <c r="AH104" s="21">
        <v>6.8209106415799994</v>
      </c>
      <c r="AI104" s="21">
        <v>0</v>
      </c>
      <c r="AJ104" s="21">
        <v>0.57337435233</v>
      </c>
      <c r="AK104" s="21">
        <v>0.40542408571399996</v>
      </c>
      <c r="AL104" s="21">
        <v>37.640115854500003</v>
      </c>
      <c r="AM104" s="21">
        <v>4.6848892600800003</v>
      </c>
      <c r="AN104" s="21">
        <v>3.93476492432</v>
      </c>
      <c r="AO104" s="21">
        <v>0</v>
      </c>
      <c r="AP104" s="22">
        <v>9.5597785632200002E-5</v>
      </c>
      <c r="AQ104" s="22">
        <v>6.75957069557E-5</v>
      </c>
      <c r="AR104" s="22">
        <v>6.2756761010800003E-3</v>
      </c>
      <c r="AS104" s="22">
        <v>8.9657036878400004E-5</v>
      </c>
      <c r="AT104" s="22">
        <v>6.2949878645499996E-5</v>
      </c>
      <c r="AU104" s="22">
        <v>5.9404811202200007E-3</v>
      </c>
      <c r="AV104" s="22">
        <v>7.2236266272200005E-4</v>
      </c>
      <c r="AW104" s="22">
        <v>6.0670105434399997E-4</v>
      </c>
      <c r="AX104" s="22">
        <v>0</v>
      </c>
      <c r="AY104" s="22">
        <v>7.8110406736399992E-4</v>
      </c>
      <c r="AZ104" s="22">
        <v>6.5603704122399996E-4</v>
      </c>
      <c r="BA104" s="22">
        <v>0</v>
      </c>
      <c r="BB104" s="7">
        <v>46.302635832900002</v>
      </c>
      <c r="BC104" s="1">
        <v>2.58523045218E-3</v>
      </c>
      <c r="BD104" s="9">
        <v>0.98199999999999998</v>
      </c>
      <c r="BE104" s="9">
        <v>5.0000000000000001E-3</v>
      </c>
      <c r="BF104" s="10">
        <v>1.2999999999999999E-2</v>
      </c>
      <c r="BG104" s="11">
        <v>-5.8806421015400003</v>
      </c>
      <c r="BH104" s="15">
        <v>600.22222222222217</v>
      </c>
      <c r="BI104" s="20">
        <v>1</v>
      </c>
      <c r="BJ104" s="15">
        <v>600.22222222222217</v>
      </c>
      <c r="BK104" s="13">
        <f t="shared" si="39"/>
        <v>132296989.69042628</v>
      </c>
      <c r="BL104" s="13">
        <f t="shared" si="30"/>
        <v>1641238870.9895737</v>
      </c>
      <c r="BM104" s="14">
        <v>7.4595046327228838</v>
      </c>
      <c r="BN104" s="14">
        <v>92.540495367277117</v>
      </c>
      <c r="BO104" s="16">
        <v>0.58237417647993439</v>
      </c>
      <c r="BP104" s="16">
        <v>0.21375052191681107</v>
      </c>
      <c r="BQ104" s="16">
        <v>3.6840109090909086</v>
      </c>
      <c r="BR104" s="16">
        <v>0.41960999999999998</v>
      </c>
      <c r="BS104" s="16">
        <v>1.0745181818181819</v>
      </c>
      <c r="BT104" s="16">
        <v>80.967272727272714</v>
      </c>
      <c r="BU104" s="16">
        <v>29.55</v>
      </c>
      <c r="BV104" s="16">
        <v>107.45181818181818</v>
      </c>
      <c r="BW104" s="16">
        <f>BT104*4</f>
        <v>323.86909090909086</v>
      </c>
      <c r="BX104" s="16">
        <f>BU104*1.29</f>
        <v>38.119500000000002</v>
      </c>
      <c r="BY104" s="16">
        <f>BV104*1.47</f>
        <v>157.95417272727272</v>
      </c>
      <c r="BZ104" s="16">
        <v>6.4999999999999997E-3</v>
      </c>
      <c r="CA104" s="16">
        <f t="shared" si="51"/>
        <v>219.16105714285709</v>
      </c>
      <c r="CB104" s="9">
        <f t="shared" si="52"/>
        <v>40.086755814368814</v>
      </c>
      <c r="CC104" s="16">
        <f t="shared" si="53"/>
        <v>0.48457413977640418</v>
      </c>
      <c r="CD104" s="16">
        <f t="shared" si="54"/>
        <v>1.5793017042508355</v>
      </c>
      <c r="CE104" s="17">
        <f t="shared" si="55"/>
        <v>42.150631658396058</v>
      </c>
      <c r="CF104" s="9">
        <f t="shared" si="56"/>
        <v>20.306299582097051</v>
      </c>
      <c r="CG104" s="18">
        <v>6828422.7272727285</v>
      </c>
      <c r="CH104" s="9">
        <f t="shared" si="37"/>
        <v>40.794798637618463</v>
      </c>
      <c r="CI104" s="9">
        <f t="shared" si="38"/>
        <v>5.4733956563812329</v>
      </c>
      <c r="CJ104" s="5">
        <v>56.368030782888482</v>
      </c>
      <c r="CK104" s="5">
        <v>0</v>
      </c>
      <c r="CL104" s="5">
        <v>56.368030782888482</v>
      </c>
    </row>
    <row r="105" spans="1:90" x14ac:dyDescent="0.25">
      <c r="A105" s="2" t="s">
        <v>261</v>
      </c>
      <c r="B105" s="1" t="s">
        <v>103</v>
      </c>
      <c r="C105" s="1" t="s">
        <v>327</v>
      </c>
      <c r="D105" s="1" t="s">
        <v>341</v>
      </c>
      <c r="E105" s="1" t="s">
        <v>331</v>
      </c>
      <c r="F105" s="21">
        <v>258.593240675</v>
      </c>
      <c r="G105" s="22">
        <v>4.3215067646900002E-2</v>
      </c>
      <c r="H105" s="22">
        <v>0</v>
      </c>
      <c r="I105" s="22">
        <v>135159055.66999999</v>
      </c>
      <c r="J105" s="22">
        <v>7775.2312862199997</v>
      </c>
      <c r="K105" s="22">
        <f t="shared" si="48"/>
        <v>33.25859143679795</v>
      </c>
      <c r="L105" s="22">
        <f t="shared" si="49"/>
        <v>55.580427200268417</v>
      </c>
      <c r="M105" s="22">
        <f t="shared" si="50"/>
        <v>17.383284264423317</v>
      </c>
      <c r="N105" s="21">
        <v>206.48086300599999</v>
      </c>
      <c r="O105" s="21">
        <v>52.112379080499998</v>
      </c>
      <c r="P105" s="22">
        <v>3.3520692771000005E-2</v>
      </c>
      <c r="Q105" s="22">
        <v>9.6943748161500004E-3</v>
      </c>
      <c r="R105" s="23">
        <v>195.80719935499999</v>
      </c>
      <c r="S105" s="23">
        <v>10.673663405699999</v>
      </c>
      <c r="T105" s="23">
        <v>0</v>
      </c>
      <c r="U105" s="23">
        <v>48.549191010999998</v>
      </c>
      <c r="V105" s="23">
        <v>3.5631881481400001</v>
      </c>
      <c r="W105" s="23">
        <v>0</v>
      </c>
      <c r="X105" s="22">
        <v>1.7416506484099998E-2</v>
      </c>
      <c r="Y105" s="22">
        <v>1.6104186195400001E-2</v>
      </c>
      <c r="Z105" s="22">
        <v>0</v>
      </c>
      <c r="AA105" s="22">
        <v>4.3183157102200005E-3</v>
      </c>
      <c r="AB105" s="22">
        <v>5.37605911118E-3</v>
      </c>
      <c r="AC105" s="22">
        <v>0</v>
      </c>
      <c r="AD105" s="21">
        <v>30.945921324499999</v>
      </c>
      <c r="AE105" s="21">
        <v>103.167373994</v>
      </c>
      <c r="AF105" s="21">
        <v>61.693903466899997</v>
      </c>
      <c r="AG105" s="21">
        <v>7.6915309014900002</v>
      </c>
      <c r="AH105" s="21">
        <v>40.857659876599996</v>
      </c>
      <c r="AI105" s="21">
        <v>0</v>
      </c>
      <c r="AJ105" s="21">
        <v>1.6867293765</v>
      </c>
      <c r="AK105" s="21">
        <v>5.6276466389899999</v>
      </c>
      <c r="AL105" s="21">
        <v>3.35928741696</v>
      </c>
      <c r="AM105" s="21">
        <v>0.56450728046999998</v>
      </c>
      <c r="AN105" s="21">
        <v>2.9986808525200002</v>
      </c>
      <c r="AO105" s="21">
        <v>0</v>
      </c>
      <c r="AP105" s="22">
        <v>2.5448998025399999E-3</v>
      </c>
      <c r="AQ105" s="22">
        <v>8.4908681945900007E-3</v>
      </c>
      <c r="AR105" s="22">
        <v>5.0684181933599998E-3</v>
      </c>
      <c r="AS105" s="22">
        <v>2.7525537411E-3</v>
      </c>
      <c r="AT105" s="22">
        <v>9.1764513381499997E-3</v>
      </c>
      <c r="AU105" s="22">
        <v>5.48750133591E-3</v>
      </c>
      <c r="AV105" s="22">
        <v>6.8414030591199991E-4</v>
      </c>
      <c r="AW105" s="22">
        <v>3.6341753694200001E-3</v>
      </c>
      <c r="AX105" s="22">
        <v>0</v>
      </c>
      <c r="AY105" s="22">
        <v>8.5171603517499993E-4</v>
      </c>
      <c r="AZ105" s="22">
        <v>4.5243430576400005E-3</v>
      </c>
      <c r="BA105" s="22">
        <v>0</v>
      </c>
      <c r="BB105" s="7">
        <v>186.01208992299999</v>
      </c>
      <c r="BC105" s="1">
        <v>6.3037430505799999E-3</v>
      </c>
      <c r="BD105" s="9">
        <v>0.39</v>
      </c>
      <c r="BE105" s="9">
        <v>0.433</v>
      </c>
      <c r="BF105" s="10">
        <v>0.17799999999999999</v>
      </c>
      <c r="BG105" s="11">
        <v>-47.445391895</v>
      </c>
      <c r="BH105" s="15">
        <v>122.33333333333333</v>
      </c>
      <c r="BI105" s="20">
        <v>44.400000000000006</v>
      </c>
      <c r="BJ105" s="15">
        <v>5431.6</v>
      </c>
      <c r="BK105" s="13">
        <f t="shared" si="39"/>
        <v>48486912.940106094</v>
      </c>
      <c r="BL105" s="13">
        <f t="shared" si="30"/>
        <v>86672142.729893878</v>
      </c>
      <c r="BM105" s="14">
        <v>35.873965454812136</v>
      </c>
      <c r="BN105" s="14">
        <v>64.126034545187849</v>
      </c>
      <c r="BO105" s="16">
        <v>0.34957317073170729</v>
      </c>
      <c r="BP105" s="16">
        <v>0.12830487804878049</v>
      </c>
      <c r="BQ105" s="16">
        <v>7.3296363636363632E-2</v>
      </c>
      <c r="BR105" s="16">
        <v>3.6403636363636365E-3</v>
      </c>
      <c r="BS105" s="16">
        <v>2.2555555555555558E-3</v>
      </c>
      <c r="BT105" s="16">
        <v>1.6109090909090911</v>
      </c>
      <c r="BU105" s="16">
        <v>0.25636363636363635</v>
      </c>
      <c r="BV105" s="16">
        <v>0.22555555555555554</v>
      </c>
      <c r="BW105" s="16">
        <f>BT105*5.66</f>
        <v>9.1177454545454548</v>
      </c>
      <c r="BX105" s="16">
        <f t="shared" ref="BX105:BY107" si="57">BU105*1.36</f>
        <v>0.34865454545454544</v>
      </c>
      <c r="BY105" s="16">
        <f t="shared" si="57"/>
        <v>0.30675555555555556</v>
      </c>
      <c r="BZ105" s="16">
        <v>2.96E-3</v>
      </c>
      <c r="CA105" s="16">
        <f t="shared" si="51"/>
        <v>1.9856525714285718</v>
      </c>
      <c r="CB105" s="9">
        <f t="shared" si="52"/>
        <v>24.06228658536585</v>
      </c>
      <c r="CC105" s="16">
        <f t="shared" si="53"/>
        <v>0.29086818292682926</v>
      </c>
      <c r="CD105" s="16">
        <f t="shared" si="54"/>
        <v>0.94798417682926828</v>
      </c>
      <c r="CE105" s="17">
        <f t="shared" si="55"/>
        <v>25.301138945121949</v>
      </c>
      <c r="CF105" s="9">
        <f t="shared" si="56"/>
        <v>12.188963414634147</v>
      </c>
      <c r="CG105" s="18">
        <v>815727.27272727271</v>
      </c>
      <c r="CH105" s="9">
        <f t="shared" si="37"/>
        <v>0.4544174623204999</v>
      </c>
      <c r="CI105" s="9">
        <f t="shared" si="38"/>
        <v>4.0173679436138185E-2</v>
      </c>
      <c r="CJ105" s="5">
        <v>0</v>
      </c>
      <c r="CK105" s="5">
        <v>5.0489574615482278</v>
      </c>
      <c r="CL105" s="5">
        <v>5.0489574615482313</v>
      </c>
    </row>
    <row r="106" spans="1:90" x14ac:dyDescent="0.25">
      <c r="A106" s="2" t="s">
        <v>262</v>
      </c>
      <c r="B106" s="1" t="s">
        <v>104</v>
      </c>
      <c r="C106" s="1" t="s">
        <v>327</v>
      </c>
      <c r="D106" s="1" t="s">
        <v>340</v>
      </c>
      <c r="E106" s="1" t="s">
        <v>331</v>
      </c>
      <c r="F106" s="21">
        <v>44.4805721508</v>
      </c>
      <c r="G106" s="22">
        <v>4.2088010710299995E-3</v>
      </c>
      <c r="H106" s="22">
        <v>3.8425183296200001E-6</v>
      </c>
      <c r="I106" s="22">
        <v>950658878.65799999</v>
      </c>
      <c r="J106" s="22">
        <v>71287.383826000005</v>
      </c>
      <c r="K106" s="22">
        <f t="shared" si="48"/>
        <v>0.62396134860790065</v>
      </c>
      <c r="L106" s="22">
        <f t="shared" si="49"/>
        <v>0.5903991485089346</v>
      </c>
      <c r="M106" s="22">
        <f t="shared" si="50"/>
        <v>13.335583768628563</v>
      </c>
      <c r="N106" s="21">
        <v>44.4805721508</v>
      </c>
      <c r="O106" s="21">
        <v>0</v>
      </c>
      <c r="P106" s="22">
        <v>4.2088010710299995E-3</v>
      </c>
      <c r="Q106" s="22">
        <v>0</v>
      </c>
      <c r="R106" s="23">
        <v>41.428576243400002</v>
      </c>
      <c r="S106" s="23">
        <v>3.0519958577800002</v>
      </c>
      <c r="T106" s="23">
        <v>0</v>
      </c>
      <c r="U106" s="23">
        <v>0</v>
      </c>
      <c r="V106" s="23">
        <v>0</v>
      </c>
      <c r="W106" s="23">
        <v>0</v>
      </c>
      <c r="X106" s="22">
        <v>3.6849567599000002E-3</v>
      </c>
      <c r="Y106" s="22">
        <v>5.2384429824100002E-4</v>
      </c>
      <c r="Z106" s="22">
        <v>0</v>
      </c>
      <c r="AA106" s="22">
        <v>0</v>
      </c>
      <c r="AB106" s="22">
        <v>0</v>
      </c>
      <c r="AC106" s="22">
        <v>0</v>
      </c>
      <c r="AD106" s="21">
        <v>0</v>
      </c>
      <c r="AE106" s="21">
        <v>0</v>
      </c>
      <c r="AF106" s="21">
        <v>41.428576308700002</v>
      </c>
      <c r="AG106" s="21">
        <v>0</v>
      </c>
      <c r="AH106" s="21">
        <v>0</v>
      </c>
      <c r="AI106" s="21">
        <v>0</v>
      </c>
      <c r="AJ106" s="21">
        <v>0</v>
      </c>
      <c r="AK106" s="21">
        <v>0</v>
      </c>
      <c r="AL106" s="21">
        <v>3.0519958602799999</v>
      </c>
      <c r="AM106" s="21">
        <v>0</v>
      </c>
      <c r="AN106" s="21">
        <v>0</v>
      </c>
      <c r="AO106" s="21">
        <v>0</v>
      </c>
      <c r="AP106" s="22">
        <v>0</v>
      </c>
      <c r="AQ106" s="22">
        <v>0</v>
      </c>
      <c r="AR106" s="22">
        <v>5.2384429846600005E-4</v>
      </c>
      <c r="AS106" s="22">
        <v>0</v>
      </c>
      <c r="AT106" s="22">
        <v>0</v>
      </c>
      <c r="AU106" s="22">
        <v>3.6849567635100001E-3</v>
      </c>
      <c r="AV106" s="22">
        <v>0</v>
      </c>
      <c r="AW106" s="22">
        <v>0</v>
      </c>
      <c r="AX106" s="22">
        <v>0</v>
      </c>
      <c r="AY106" s="22">
        <v>0</v>
      </c>
      <c r="AZ106" s="22">
        <v>0</v>
      </c>
      <c r="BA106" s="22">
        <v>0</v>
      </c>
      <c r="BB106" s="7">
        <v>90.567796213600005</v>
      </c>
      <c r="BC106" s="1">
        <v>3.0692419768000002E-3</v>
      </c>
      <c r="BD106" s="9">
        <v>1</v>
      </c>
      <c r="BE106" s="9">
        <v>0</v>
      </c>
      <c r="BF106" s="10">
        <v>0</v>
      </c>
      <c r="BG106" s="11">
        <v>-32.916612951300003</v>
      </c>
      <c r="BH106" s="12">
        <v>705.34090909999998</v>
      </c>
      <c r="BI106" s="20">
        <v>0.8760355029585799</v>
      </c>
      <c r="BJ106" s="15">
        <v>617.90367806068048</v>
      </c>
      <c r="BK106" s="13">
        <f t="shared" si="39"/>
        <v>20471226.809756123</v>
      </c>
      <c r="BL106" s="13">
        <f t="shared" si="30"/>
        <v>930187651.84824383</v>
      </c>
      <c r="BM106" s="14">
        <v>2.1533724945223653</v>
      </c>
      <c r="BN106" s="14">
        <v>97.846627505477642</v>
      </c>
      <c r="BO106" s="16">
        <v>8.2763520954963704E-4</v>
      </c>
      <c r="BP106" s="16">
        <v>3.0376940658195464E-4</v>
      </c>
      <c r="BQ106" s="16">
        <v>1.0423636363636364E-2</v>
      </c>
      <c r="BR106" s="16">
        <v>1.3812727272727273E-3</v>
      </c>
      <c r="BS106" s="16">
        <v>4.7272727272727272E-4</v>
      </c>
      <c r="BT106" s="16">
        <v>0.22909090909090904</v>
      </c>
      <c r="BU106" s="16">
        <v>9.7272727272727302E-2</v>
      </c>
      <c r="BV106" s="16">
        <v>4.7272727272727272E-2</v>
      </c>
      <c r="BW106" s="16">
        <f>BT106*5.66</f>
        <v>1.2966545454545453</v>
      </c>
      <c r="BX106" s="16">
        <f t="shared" si="57"/>
        <v>0.13229090909090915</v>
      </c>
      <c r="BY106" s="16">
        <f t="shared" si="57"/>
        <v>6.4290909090909093E-2</v>
      </c>
      <c r="BZ106" s="16">
        <v>2.96E-3</v>
      </c>
      <c r="CA106" s="16">
        <f t="shared" si="51"/>
        <v>0.28238399999999997</v>
      </c>
      <c r="CB106" s="9">
        <f t="shared" si="52"/>
        <v>5.6968890257333343E-2</v>
      </c>
      <c r="CC106" s="16">
        <f t="shared" si="53"/>
        <v>6.8864767002593471E-4</v>
      </c>
      <c r="CD106" s="16">
        <f t="shared" si="54"/>
        <v>2.2444087490970242E-3</v>
      </c>
      <c r="CE106" s="17">
        <f t="shared" si="55"/>
        <v>5.9901946676456305E-2</v>
      </c>
      <c r="CF106" s="9">
        <f t="shared" si="56"/>
        <v>2.8858093625285689E-2</v>
      </c>
      <c r="CG106" s="18">
        <v>14440909.09090909</v>
      </c>
      <c r="CH106" s="9">
        <f t="shared" si="37"/>
        <v>0.1936387417851036</v>
      </c>
      <c r="CI106" s="9">
        <f t="shared" si="38"/>
        <v>2.6923347924142554E-2</v>
      </c>
      <c r="CJ106" s="5">
        <v>68.1446825969321</v>
      </c>
      <c r="CK106" s="5">
        <v>0</v>
      </c>
      <c r="CL106" s="5">
        <v>68.1446825969321</v>
      </c>
    </row>
    <row r="107" spans="1:90" x14ac:dyDescent="0.25">
      <c r="A107" s="2" t="s">
        <v>263</v>
      </c>
      <c r="B107" s="1" t="s">
        <v>105</v>
      </c>
      <c r="C107" s="1" t="s">
        <v>327</v>
      </c>
      <c r="D107" s="1" t="s">
        <v>340</v>
      </c>
      <c r="E107" s="1" t="s">
        <v>331</v>
      </c>
      <c r="F107" s="21">
        <v>2483.4750675099999</v>
      </c>
      <c r="G107" s="22">
        <v>0.22445751816100001</v>
      </c>
      <c r="H107" s="22">
        <v>1.1138217766100001E-4</v>
      </c>
      <c r="I107" s="22">
        <v>6535133139.1499996</v>
      </c>
      <c r="J107" s="22">
        <v>294682.45112400001</v>
      </c>
      <c r="K107" s="22">
        <f t="shared" si="48"/>
        <v>8.4276313639897538</v>
      </c>
      <c r="L107" s="22">
        <f t="shared" si="49"/>
        <v>7.6169285719206297</v>
      </c>
      <c r="M107" s="22">
        <f t="shared" si="50"/>
        <v>22.176865687872493</v>
      </c>
      <c r="N107" s="21">
        <v>2483.4750675099999</v>
      </c>
      <c r="O107" s="21">
        <v>0</v>
      </c>
      <c r="P107" s="22">
        <v>0.22445751816100001</v>
      </c>
      <c r="Q107" s="22">
        <v>0</v>
      </c>
      <c r="R107" s="23">
        <v>2245.2614205700002</v>
      </c>
      <c r="S107" s="23">
        <v>238.21365158699999</v>
      </c>
      <c r="T107" s="23">
        <v>0</v>
      </c>
      <c r="U107" s="23">
        <v>0</v>
      </c>
      <c r="V107" s="23">
        <v>0</v>
      </c>
      <c r="W107" s="23">
        <v>0</v>
      </c>
      <c r="X107" s="22">
        <v>0.19970976663999998</v>
      </c>
      <c r="Y107" s="22">
        <v>2.4747751597499999E-2</v>
      </c>
      <c r="Z107" s="22">
        <v>0</v>
      </c>
      <c r="AA107" s="22">
        <v>0</v>
      </c>
      <c r="AB107" s="22">
        <v>0</v>
      </c>
      <c r="AC107" s="22">
        <v>0</v>
      </c>
      <c r="AD107" s="21">
        <v>0</v>
      </c>
      <c r="AE107" s="21">
        <v>0</v>
      </c>
      <c r="AF107" s="21">
        <v>2245.2614205300001</v>
      </c>
      <c r="AG107" s="21">
        <v>0</v>
      </c>
      <c r="AH107" s="21">
        <v>0</v>
      </c>
      <c r="AI107" s="21">
        <v>0</v>
      </c>
      <c r="AJ107" s="21">
        <v>0</v>
      </c>
      <c r="AK107" s="21">
        <v>0</v>
      </c>
      <c r="AL107" s="21">
        <v>238.213651352</v>
      </c>
      <c r="AM107" s="21">
        <v>0</v>
      </c>
      <c r="AN107" s="21">
        <v>0</v>
      </c>
      <c r="AO107" s="21">
        <v>0</v>
      </c>
      <c r="AP107" s="22">
        <v>0</v>
      </c>
      <c r="AQ107" s="22">
        <v>0</v>
      </c>
      <c r="AR107" s="22">
        <v>2.4747751566700001E-2</v>
      </c>
      <c r="AS107" s="22">
        <v>0</v>
      </c>
      <c r="AT107" s="22">
        <v>0</v>
      </c>
      <c r="AU107" s="22">
        <v>0.199709766609</v>
      </c>
      <c r="AV107" s="22">
        <v>0</v>
      </c>
      <c r="AW107" s="22">
        <v>0</v>
      </c>
      <c r="AX107" s="22">
        <v>0</v>
      </c>
      <c r="AY107" s="22">
        <v>0</v>
      </c>
      <c r="AZ107" s="22">
        <v>0</v>
      </c>
      <c r="BA107" s="22">
        <v>0</v>
      </c>
      <c r="BB107" s="7">
        <v>13953.1141919</v>
      </c>
      <c r="BC107" s="1">
        <v>0.47285553756600002</v>
      </c>
      <c r="BD107" s="9">
        <v>1</v>
      </c>
      <c r="BE107" s="9">
        <v>0</v>
      </c>
      <c r="BF107" s="10">
        <v>0</v>
      </c>
      <c r="BG107" s="11">
        <v>-13.592488922099999</v>
      </c>
      <c r="BH107" s="15">
        <v>374</v>
      </c>
      <c r="BI107" s="20">
        <v>1</v>
      </c>
      <c r="BJ107" s="15">
        <v>374</v>
      </c>
      <c r="BK107" s="13">
        <f t="shared" si="39"/>
        <v>1472803590.9817874</v>
      </c>
      <c r="BL107" s="13">
        <f t="shared" si="30"/>
        <v>5062329548.1682119</v>
      </c>
      <c r="BM107" s="14">
        <v>22.536703684867078</v>
      </c>
      <c r="BN107" s="14">
        <v>77.463296315132922</v>
      </c>
      <c r="BO107" s="16">
        <v>6.6625991458206218E-2</v>
      </c>
      <c r="BP107" s="16">
        <v>2.4453935326418548E-2</v>
      </c>
      <c r="BQ107" s="16">
        <v>0.16590954545454548</v>
      </c>
      <c r="BR107" s="16">
        <v>1.3541636363636365E-2</v>
      </c>
      <c r="BS107" s="16">
        <v>9.290909090909091E-3</v>
      </c>
      <c r="BT107" s="16">
        <v>3.6463636363636365</v>
      </c>
      <c r="BU107" s="16">
        <v>0.95363636363636362</v>
      </c>
      <c r="BV107" s="16">
        <v>0.92909090909090897</v>
      </c>
      <c r="BW107" s="16">
        <f>BT107*5.66</f>
        <v>20.638418181818182</v>
      </c>
      <c r="BX107" s="16">
        <f t="shared" si="57"/>
        <v>1.2969454545454546</v>
      </c>
      <c r="BY107" s="16">
        <f t="shared" si="57"/>
        <v>1.2635636363636362</v>
      </c>
      <c r="BZ107" s="16">
        <v>2.96E-3</v>
      </c>
      <c r="CA107" s="16">
        <f t="shared" si="51"/>
        <v>4.4946119999999992</v>
      </c>
      <c r="CB107" s="9">
        <f t="shared" si="52"/>
        <v>4.5860890787065278</v>
      </c>
      <c r="CC107" s="16">
        <f t="shared" si="53"/>
        <v>5.5437266625991466E-2</v>
      </c>
      <c r="CD107" s="16">
        <f t="shared" si="54"/>
        <v>0.18067858450274557</v>
      </c>
      <c r="CE107" s="17">
        <f t="shared" si="55"/>
        <v>4.8222049298352641</v>
      </c>
      <c r="CF107" s="9">
        <f t="shared" si="56"/>
        <v>2.323123856009762</v>
      </c>
      <c r="CG107" s="18">
        <v>41186363.63636364</v>
      </c>
      <c r="CH107" s="9">
        <f t="shared" si="37"/>
        <v>11.524851374194354</v>
      </c>
      <c r="CI107" s="9">
        <f t="shared" si="38"/>
        <v>1.4348862885396532</v>
      </c>
      <c r="CJ107" s="5">
        <v>53.817443066291126</v>
      </c>
      <c r="CK107" s="5">
        <v>6.5899927809034322</v>
      </c>
      <c r="CL107" s="5">
        <v>56.860870234259167</v>
      </c>
    </row>
    <row r="108" spans="1:90" x14ac:dyDescent="0.25">
      <c r="A108" s="2" t="s">
        <v>264</v>
      </c>
      <c r="B108" s="1" t="s">
        <v>106</v>
      </c>
      <c r="C108" s="1" t="s">
        <v>332</v>
      </c>
      <c r="D108" s="1" t="s">
        <v>338</v>
      </c>
      <c r="E108" s="1" t="s">
        <v>339</v>
      </c>
      <c r="F108" s="21">
        <v>1174.67560753</v>
      </c>
      <c r="G108" s="22">
        <v>0.122484559911</v>
      </c>
      <c r="H108" s="22">
        <v>2.7439666591600002E-5</v>
      </c>
      <c r="I108" s="22">
        <v>993330213.53400004</v>
      </c>
      <c r="J108" s="22">
        <v>92144.634655700007</v>
      </c>
      <c r="K108" s="22">
        <f t="shared" si="48"/>
        <v>12.748171523162421</v>
      </c>
      <c r="L108" s="22">
        <f t="shared" si="49"/>
        <v>13.292641548655073</v>
      </c>
      <c r="M108" s="22">
        <f t="shared" si="50"/>
        <v>10.780119941281392</v>
      </c>
      <c r="N108" s="21">
        <v>1174.2151886700001</v>
      </c>
      <c r="O108" s="21">
        <v>0.46042025612600002</v>
      </c>
      <c r="P108" s="22">
        <v>0.122436899862</v>
      </c>
      <c r="Q108" s="22">
        <v>4.7660140586799995E-5</v>
      </c>
      <c r="R108" s="23">
        <v>844.59737423900003</v>
      </c>
      <c r="S108" s="23">
        <v>329.61781860399998</v>
      </c>
      <c r="T108" s="23">
        <v>0</v>
      </c>
      <c r="U108" s="23">
        <v>0.33755744457499998</v>
      </c>
      <c r="V108" s="23">
        <v>0.122862812574</v>
      </c>
      <c r="W108" s="23">
        <v>0</v>
      </c>
      <c r="X108" s="22">
        <v>7.51245906553E-2</v>
      </c>
      <c r="Y108" s="22">
        <v>4.7312309561799999E-2</v>
      </c>
      <c r="Z108" s="22">
        <v>0</v>
      </c>
      <c r="AA108" s="22">
        <v>3.0024797035700002E-5</v>
      </c>
      <c r="AB108" s="22">
        <v>1.7635343489800001E-5</v>
      </c>
      <c r="AC108" s="22">
        <v>0</v>
      </c>
      <c r="AD108" s="21">
        <v>1.8448927853200001</v>
      </c>
      <c r="AE108" s="21">
        <v>0</v>
      </c>
      <c r="AF108" s="21">
        <v>842.75248221800007</v>
      </c>
      <c r="AG108" s="21">
        <v>0.33755744410499999</v>
      </c>
      <c r="AH108" s="21">
        <v>0</v>
      </c>
      <c r="AI108" s="21">
        <v>0</v>
      </c>
      <c r="AJ108" s="21">
        <v>0.72421646595800004</v>
      </c>
      <c r="AK108" s="21">
        <v>0</v>
      </c>
      <c r="AL108" s="21">
        <v>328.89360127600003</v>
      </c>
      <c r="AM108" s="21">
        <v>0.12286281241699999</v>
      </c>
      <c r="AN108" s="21">
        <v>0</v>
      </c>
      <c r="AO108" s="21">
        <v>0</v>
      </c>
      <c r="AP108" s="22">
        <v>1.03951763771E-4</v>
      </c>
      <c r="AQ108" s="22">
        <v>0</v>
      </c>
      <c r="AR108" s="22">
        <v>4.7208357883399998E-2</v>
      </c>
      <c r="AS108" s="22">
        <v>1.64098087998E-4</v>
      </c>
      <c r="AT108" s="22">
        <v>0</v>
      </c>
      <c r="AU108" s="22">
        <v>7.4960492405300005E-2</v>
      </c>
      <c r="AV108" s="22">
        <v>3.0024797011799998E-5</v>
      </c>
      <c r="AW108" s="22">
        <v>0</v>
      </c>
      <c r="AX108" s="22">
        <v>0</v>
      </c>
      <c r="AY108" s="22">
        <v>1.7635343484999998E-5</v>
      </c>
      <c r="AZ108" s="22">
        <v>0</v>
      </c>
      <c r="BA108" s="22">
        <v>0</v>
      </c>
      <c r="BB108" s="7">
        <v>1471.2944495500001</v>
      </c>
      <c r="BC108" s="1">
        <v>2.9017196265899999E-2</v>
      </c>
      <c r="BD108" s="9">
        <v>0.998</v>
      </c>
      <c r="BE108" s="9">
        <v>0</v>
      </c>
      <c r="BF108" s="10">
        <v>2E-3</v>
      </c>
      <c r="BG108" s="11">
        <v>-24.313308212799999</v>
      </c>
      <c r="BH108" s="15">
        <v>516.88888888888891</v>
      </c>
      <c r="BI108" s="20">
        <v>0.99969788519637459</v>
      </c>
      <c r="BJ108" s="15">
        <v>516.73272910372611</v>
      </c>
      <c r="BK108" s="13">
        <f t="shared" si="39"/>
        <v>693041715.86444938</v>
      </c>
      <c r="BL108" s="13">
        <f t="shared" si="30"/>
        <v>300288497.66955066</v>
      </c>
      <c r="BM108" s="14">
        <v>69.769519382562066</v>
      </c>
      <c r="BN108" s="14">
        <v>30.230480617437923</v>
      </c>
      <c r="BO108" s="16">
        <v>0.13778169014084507</v>
      </c>
      <c r="BP108" s="16">
        <v>5.7794768611670023E-2</v>
      </c>
      <c r="BQ108" s="16">
        <v>0.73263272727272732</v>
      </c>
      <c r="BR108" s="16">
        <v>6.8147090909090893E-2</v>
      </c>
      <c r="BS108" s="16">
        <v>3.2818181818181816E-2</v>
      </c>
      <c r="BT108" s="16">
        <v>16.101818181818182</v>
      </c>
      <c r="BU108" s="16">
        <v>4.799090909090908</v>
      </c>
      <c r="BV108" s="16">
        <v>3.2818181818181826</v>
      </c>
      <c r="BW108" s="16">
        <f>BT108*3.53</f>
        <v>56.839418181818175</v>
      </c>
      <c r="BX108" s="16">
        <f>BU108*0.54</f>
        <v>2.5915090909090903</v>
      </c>
      <c r="BY108" s="16">
        <f>BV108*1.02</f>
        <v>3.3474545454545463</v>
      </c>
      <c r="BZ108" s="16">
        <v>2.4420000000000001E-2</v>
      </c>
      <c r="CA108" s="16">
        <f t="shared" si="51"/>
        <v>163.74237942857144</v>
      </c>
      <c r="CB108" s="9">
        <f t="shared" si="52"/>
        <v>9.4839730046948354</v>
      </c>
      <c r="CC108" s="16">
        <f t="shared" si="53"/>
        <v>0.1146435516431925</v>
      </c>
      <c r="CD108" s="16">
        <f t="shared" si="54"/>
        <v>0.37364098004694835</v>
      </c>
      <c r="CE108" s="17">
        <f t="shared" si="55"/>
        <v>9.9722575363849764</v>
      </c>
      <c r="CF108" s="9">
        <f t="shared" si="56"/>
        <v>5.4905030181086518</v>
      </c>
      <c r="CG108" s="18">
        <v>2130000</v>
      </c>
      <c r="CH108" s="9">
        <f t="shared" si="37"/>
        <v>2.1921415971428568</v>
      </c>
      <c r="CI108" s="9">
        <f t="shared" si="38"/>
        <v>0.51542490143665587</v>
      </c>
      <c r="CJ108" s="5">
        <v>61.786753987473219</v>
      </c>
      <c r="CK108" s="5">
        <v>17.345958971341155</v>
      </c>
      <c r="CL108" s="5">
        <v>68.415207962423779</v>
      </c>
    </row>
    <row r="109" spans="1:90" x14ac:dyDescent="0.25">
      <c r="A109" s="2" t="s">
        <v>265</v>
      </c>
      <c r="B109" s="1" t="s">
        <v>107</v>
      </c>
      <c r="C109" s="1" t="s">
        <v>324</v>
      </c>
      <c r="D109" s="1" t="s">
        <v>326</v>
      </c>
      <c r="E109" s="1" t="s">
        <v>326</v>
      </c>
      <c r="F109" s="21">
        <v>46.914139388499997</v>
      </c>
      <c r="G109" s="22">
        <v>4.8472840996799998E-3</v>
      </c>
      <c r="H109" s="22">
        <v>0</v>
      </c>
      <c r="I109" s="22">
        <v>65860313.838600002</v>
      </c>
      <c r="J109" s="22">
        <v>459362.21771</v>
      </c>
      <c r="K109" s="22">
        <f t="shared" si="48"/>
        <v>0.10212885949213474</v>
      </c>
      <c r="L109" s="22">
        <f t="shared" si="49"/>
        <v>0.10552204584531458</v>
      </c>
      <c r="M109" s="22">
        <f t="shared" si="50"/>
        <v>0.14337338008973627</v>
      </c>
      <c r="N109" s="21">
        <v>30.114826195199999</v>
      </c>
      <c r="O109" s="21">
        <v>16.7993133477</v>
      </c>
      <c r="P109" s="22">
        <v>3.0892882819900003E-3</v>
      </c>
      <c r="Q109" s="22">
        <v>1.75799581815E-3</v>
      </c>
      <c r="R109" s="23">
        <v>16.707808135499999</v>
      </c>
      <c r="S109" s="23">
        <v>13.407017956600001</v>
      </c>
      <c r="T109" s="23">
        <v>0</v>
      </c>
      <c r="U109" s="23">
        <v>8.1887093831200009</v>
      </c>
      <c r="V109" s="23">
        <v>8.6106039359299995</v>
      </c>
      <c r="W109" s="23">
        <v>0</v>
      </c>
      <c r="X109" s="22">
        <v>1.48611312593E-3</v>
      </c>
      <c r="Y109" s="22">
        <v>1.6031751564999999E-3</v>
      </c>
      <c r="Z109" s="22">
        <v>0</v>
      </c>
      <c r="AA109" s="22">
        <v>7.2836295220500005E-4</v>
      </c>
      <c r="AB109" s="22">
        <v>1.0296328634100001E-3</v>
      </c>
      <c r="AC109" s="22">
        <v>0</v>
      </c>
      <c r="AD109" s="21">
        <v>4.5119517051299995</v>
      </c>
      <c r="AE109" s="21">
        <v>8.6081818444899998</v>
      </c>
      <c r="AF109" s="21">
        <v>3.58767457133</v>
      </c>
      <c r="AG109" s="21">
        <v>2.5720738430900001</v>
      </c>
      <c r="AH109" s="21">
        <v>5.6166355268200006</v>
      </c>
      <c r="AI109" s="21">
        <v>0</v>
      </c>
      <c r="AJ109" s="21">
        <v>3.61912018689</v>
      </c>
      <c r="AK109" s="21">
        <v>6.90200613882</v>
      </c>
      <c r="AL109" s="21">
        <v>2.88589167072</v>
      </c>
      <c r="AM109" s="21">
        <v>2.7045909513599997</v>
      </c>
      <c r="AN109" s="21">
        <v>5.9060130262600001</v>
      </c>
      <c r="AO109" s="21">
        <v>0</v>
      </c>
      <c r="AP109" s="22">
        <v>4.3276465722799997E-4</v>
      </c>
      <c r="AQ109" s="22">
        <v>8.2532333017499996E-4</v>
      </c>
      <c r="AR109" s="22">
        <v>3.4508716582300002E-4</v>
      </c>
      <c r="AS109" s="22">
        <v>4.0132557125400001E-4</v>
      </c>
      <c r="AT109" s="22">
        <v>7.6567386506500002E-4</v>
      </c>
      <c r="AU109" s="22">
        <v>3.1911368867699997E-4</v>
      </c>
      <c r="AV109" s="22">
        <v>2.28778823514E-4</v>
      </c>
      <c r="AW109" s="22">
        <v>4.9958412911900007E-4</v>
      </c>
      <c r="AX109" s="22">
        <v>0</v>
      </c>
      <c r="AY109" s="22">
        <v>3.2340771238599996E-4</v>
      </c>
      <c r="AZ109" s="22">
        <v>7.0622515405499998E-4</v>
      </c>
      <c r="BA109" s="22">
        <v>0</v>
      </c>
      <c r="BB109" s="7">
        <v>119.490428984</v>
      </c>
      <c r="BC109" s="1">
        <v>1.8919317834399998E-3</v>
      </c>
      <c r="BD109" s="9">
        <v>0.33300000000000002</v>
      </c>
      <c r="BE109" s="9">
        <v>0.33300000000000002</v>
      </c>
      <c r="BF109" s="10">
        <v>0.33300000000000002</v>
      </c>
      <c r="BG109" s="11">
        <v>-1.8333702198299999</v>
      </c>
      <c r="BH109" s="15">
        <v>451.77777777777777</v>
      </c>
      <c r="BI109" s="20">
        <v>0.95285412262156444</v>
      </c>
      <c r="BJ109" s="15">
        <v>430.47831806436454</v>
      </c>
      <c r="BK109" s="13">
        <f t="shared" si="39"/>
        <v>33738939.483452141</v>
      </c>
      <c r="BL109" s="13">
        <f t="shared" si="30"/>
        <v>32121374.355147865</v>
      </c>
      <c r="BM109" s="14">
        <v>51.228027194243531</v>
      </c>
      <c r="BN109" s="14">
        <v>48.771972805756477</v>
      </c>
      <c r="BO109" s="16">
        <v>15.036251845313284</v>
      </c>
      <c r="BP109" s="16">
        <v>6.3072001461031544</v>
      </c>
      <c r="BQ109" s="16">
        <v>10.853363181818183</v>
      </c>
      <c r="BR109" s="16">
        <v>0.52343781818181823</v>
      </c>
      <c r="BS109" s="16">
        <v>0.41518181818181821</v>
      </c>
      <c r="BT109" s="16">
        <v>238.53545454545454</v>
      </c>
      <c r="BU109" s="16">
        <v>36.86181818181818</v>
      </c>
      <c r="BV109" s="16">
        <v>41.518181818181823</v>
      </c>
      <c r="BW109" s="16">
        <f>BT109*5.62</f>
        <v>1340.5692545454544</v>
      </c>
      <c r="BX109" s="16">
        <f>BU109*1.47</f>
        <v>54.186872727272721</v>
      </c>
      <c r="BY109" s="16">
        <f>BV109*1.45</f>
        <v>60.201363636363638</v>
      </c>
      <c r="BZ109" s="16">
        <v>7.1999999999999998E-3</v>
      </c>
      <c r="CA109" s="16">
        <f t="shared" si="51"/>
        <v>715.19744571428566</v>
      </c>
      <c r="CB109" s="9">
        <f t="shared" si="52"/>
        <v>1034.9953353523977</v>
      </c>
      <c r="CC109" s="16">
        <f t="shared" si="53"/>
        <v>12.511163952090341</v>
      </c>
      <c r="CD109" s="16">
        <f t="shared" si="54"/>
        <v>40.775808962515413</v>
      </c>
      <c r="CE109" s="17">
        <f t="shared" si="55"/>
        <v>1088.2823082670034</v>
      </c>
      <c r="CF109" s="9">
        <f t="shared" si="56"/>
        <v>599.18401387979964</v>
      </c>
      <c r="CG109" s="18">
        <v>1092509.0909090908</v>
      </c>
      <c r="CH109" s="9">
        <f t="shared" si="37"/>
        <v>36.200763760711638</v>
      </c>
      <c r="CI109" s="9">
        <f t="shared" si="38"/>
        <v>4.214486294490591</v>
      </c>
      <c r="CJ109" s="5">
        <v>67.621099059215439</v>
      </c>
      <c r="CK109" s="5">
        <v>0</v>
      </c>
      <c r="CL109" s="5">
        <v>67.621099059215439</v>
      </c>
    </row>
    <row r="110" spans="1:90" x14ac:dyDescent="0.25">
      <c r="A110" s="2" t="s">
        <v>266</v>
      </c>
      <c r="B110" s="1" t="s">
        <v>108</v>
      </c>
      <c r="C110" s="1" t="s">
        <v>324</v>
      </c>
      <c r="D110" s="1" t="s">
        <v>349</v>
      </c>
      <c r="E110" s="1" t="s">
        <v>326</v>
      </c>
      <c r="F110" s="21">
        <v>9.8344412907399992</v>
      </c>
      <c r="G110" s="22">
        <v>4.2786730330600001E-4</v>
      </c>
      <c r="H110" s="22">
        <v>9.7996149605000003E-8</v>
      </c>
      <c r="I110" s="22">
        <v>101352269.795</v>
      </c>
      <c r="J110" s="22">
        <v>128098.279549</v>
      </c>
      <c r="K110" s="22">
        <f t="shared" si="48"/>
        <v>7.6772625872606984E-2</v>
      </c>
      <c r="L110" s="22">
        <f t="shared" si="49"/>
        <v>3.3401487109148309E-2</v>
      </c>
      <c r="M110" s="22">
        <f t="shared" si="50"/>
        <v>0.79120711185063852</v>
      </c>
      <c r="N110" s="21">
        <v>9.8344412907399992</v>
      </c>
      <c r="O110" s="21">
        <v>0</v>
      </c>
      <c r="P110" s="22">
        <v>4.2786730330600001E-4</v>
      </c>
      <c r="Q110" s="22">
        <v>0</v>
      </c>
      <c r="R110" s="23">
        <v>4.6875900685499996</v>
      </c>
      <c r="S110" s="23">
        <v>5.14685121633</v>
      </c>
      <c r="T110" s="23">
        <v>0</v>
      </c>
      <c r="U110" s="23">
        <v>0</v>
      </c>
      <c r="V110" s="23">
        <v>0</v>
      </c>
      <c r="W110" s="23">
        <v>0</v>
      </c>
      <c r="X110" s="22">
        <v>4.1694811598000001E-4</v>
      </c>
      <c r="Y110" s="22">
        <v>1.0919187812400001E-5</v>
      </c>
      <c r="Z110" s="22">
        <v>0</v>
      </c>
      <c r="AA110" s="22">
        <v>0</v>
      </c>
      <c r="AB110" s="22">
        <v>0</v>
      </c>
      <c r="AC110" s="22">
        <v>0</v>
      </c>
      <c r="AD110" s="21">
        <v>0</v>
      </c>
      <c r="AE110" s="21">
        <v>0</v>
      </c>
      <c r="AF110" s="21">
        <v>4.6875900705999998</v>
      </c>
      <c r="AG110" s="21">
        <v>0</v>
      </c>
      <c r="AH110" s="21">
        <v>0</v>
      </c>
      <c r="AI110" s="21">
        <v>0</v>
      </c>
      <c r="AJ110" s="21">
        <v>0</v>
      </c>
      <c r="AK110" s="21">
        <v>0</v>
      </c>
      <c r="AL110" s="21">
        <v>5.14685120556</v>
      </c>
      <c r="AM110" s="21">
        <v>0</v>
      </c>
      <c r="AN110" s="21">
        <v>0</v>
      </c>
      <c r="AO110" s="21">
        <v>0</v>
      </c>
      <c r="AP110" s="22">
        <v>0</v>
      </c>
      <c r="AQ110" s="22">
        <v>0</v>
      </c>
      <c r="AR110" s="22">
        <v>1.0919187812200001E-5</v>
      </c>
      <c r="AS110" s="22">
        <v>0</v>
      </c>
      <c r="AT110" s="22">
        <v>0</v>
      </c>
      <c r="AU110" s="22">
        <v>4.1694811567400005E-4</v>
      </c>
      <c r="AV110" s="22">
        <v>0</v>
      </c>
      <c r="AW110" s="22">
        <v>0</v>
      </c>
      <c r="AX110" s="22">
        <v>0</v>
      </c>
      <c r="AY110" s="22">
        <v>0</v>
      </c>
      <c r="AZ110" s="22">
        <v>0</v>
      </c>
      <c r="BA110" s="22">
        <v>0</v>
      </c>
      <c r="BB110" s="7">
        <v>39.791976742400003</v>
      </c>
      <c r="BC110" s="1">
        <v>6.3003963117299992E-4</v>
      </c>
      <c r="BD110" s="9">
        <v>1</v>
      </c>
      <c r="BE110" s="9">
        <v>0</v>
      </c>
      <c r="BF110" s="10">
        <v>0</v>
      </c>
      <c r="BG110" s="11">
        <v>-32.566523233399998</v>
      </c>
      <c r="BH110" s="15">
        <v>5.2222222222222223</v>
      </c>
      <c r="BI110" s="20">
        <v>1.4624999999999999</v>
      </c>
      <c r="BJ110" s="15">
        <v>7.6374999999999993</v>
      </c>
      <c r="BK110" s="13">
        <f t="shared" si="39"/>
        <v>8191178.1698242119</v>
      </c>
      <c r="BL110" s="13">
        <f t="shared" si="30"/>
        <v>93161091.625175789</v>
      </c>
      <c r="BM110" s="14">
        <v>8.0818892229962724</v>
      </c>
      <c r="BN110" s="14">
        <v>91.918110777003719</v>
      </c>
      <c r="BO110" s="16">
        <v>17.523543643263757</v>
      </c>
      <c r="BP110" s="16">
        <v>7.3505351043643259</v>
      </c>
      <c r="BQ110" s="16">
        <v>5.3021149999999997</v>
      </c>
      <c r="BR110" s="16">
        <v>0.43232545454545446</v>
      </c>
      <c r="BS110" s="16">
        <v>0.58438181818181822</v>
      </c>
      <c r="BT110" s="16">
        <v>116.52999999999999</v>
      </c>
      <c r="BU110" s="16">
        <v>30.445454545454542</v>
      </c>
      <c r="BV110" s="16">
        <v>58.43818181818181</v>
      </c>
      <c r="BW110" s="16">
        <f>BT110*5.66</f>
        <v>659.5598</v>
      </c>
      <c r="BX110" s="16">
        <f>BU110*1.36</f>
        <v>41.405818181818177</v>
      </c>
      <c r="BY110" s="16">
        <f>BV110*1.36</f>
        <v>79.475927272727262</v>
      </c>
      <c r="BZ110" s="16">
        <v>7.1999999999999998E-3</v>
      </c>
      <c r="CA110" s="16">
        <f t="shared" si="51"/>
        <v>349.3902342857142</v>
      </c>
      <c r="CB110" s="9">
        <f t="shared" si="52"/>
        <v>1206.2039207779885</v>
      </c>
      <c r="CC110" s="16">
        <f t="shared" si="53"/>
        <v>14.58075654743833</v>
      </c>
      <c r="CD110" s="16">
        <f t="shared" si="54"/>
        <v>47.520929769924102</v>
      </c>
      <c r="CE110" s="17">
        <f t="shared" si="55"/>
        <v>1268.305607095351</v>
      </c>
      <c r="CF110" s="9">
        <f t="shared" si="56"/>
        <v>698.30083491461096</v>
      </c>
      <c r="CG110" s="18">
        <v>864514.54545454541</v>
      </c>
      <c r="CH110" s="9">
        <f t="shared" si="37"/>
        <v>26.966716647021137</v>
      </c>
      <c r="CI110" s="9">
        <f t="shared" si="38"/>
        <v>2.676915881804474</v>
      </c>
      <c r="CJ110" s="5">
        <v>0</v>
      </c>
      <c r="CK110" s="5">
        <v>0</v>
      </c>
      <c r="CL110" s="5">
        <v>0</v>
      </c>
    </row>
    <row r="111" spans="1:90" x14ac:dyDescent="0.25">
      <c r="A111" s="2" t="s">
        <v>267</v>
      </c>
      <c r="B111" s="1" t="s">
        <v>109</v>
      </c>
      <c r="C111" s="1" t="s">
        <v>321</v>
      </c>
      <c r="D111" s="1" t="s">
        <v>322</v>
      </c>
      <c r="E111" s="1" t="s">
        <v>323</v>
      </c>
      <c r="F111" s="21">
        <v>2246.7510677499999</v>
      </c>
      <c r="G111" s="22">
        <v>0.169351779791</v>
      </c>
      <c r="H111" s="22">
        <v>6.3845384432400003E-6</v>
      </c>
      <c r="I111" s="22">
        <v>9947085484.1900005</v>
      </c>
      <c r="J111" s="22">
        <v>1157238.28574</v>
      </c>
      <c r="K111" s="22">
        <f t="shared" si="48"/>
        <v>1.9414766132744281</v>
      </c>
      <c r="L111" s="22">
        <f t="shared" si="49"/>
        <v>1.463413212972879</v>
      </c>
      <c r="M111" s="22">
        <f t="shared" si="50"/>
        <v>8.5955378479630085</v>
      </c>
      <c r="N111" s="21">
        <v>2246.7510677499999</v>
      </c>
      <c r="O111" s="21">
        <v>0</v>
      </c>
      <c r="P111" s="22">
        <v>0.169351779791</v>
      </c>
      <c r="Q111" s="22">
        <v>0</v>
      </c>
      <c r="R111" s="23">
        <v>1898.6432255499999</v>
      </c>
      <c r="S111" s="23">
        <v>348.10784944099998</v>
      </c>
      <c r="T111" s="23">
        <v>0</v>
      </c>
      <c r="U111" s="23">
        <v>0</v>
      </c>
      <c r="V111" s="23">
        <v>0</v>
      </c>
      <c r="W111" s="23">
        <v>0</v>
      </c>
      <c r="X111" s="22">
        <v>0.16887904142500001</v>
      </c>
      <c r="Y111" s="22">
        <v>4.7273905610700003E-4</v>
      </c>
      <c r="Z111" s="22">
        <v>0</v>
      </c>
      <c r="AA111" s="22">
        <v>0</v>
      </c>
      <c r="AB111" s="22">
        <v>0</v>
      </c>
      <c r="AC111" s="22">
        <v>0</v>
      </c>
      <c r="AD111" s="21">
        <v>0</v>
      </c>
      <c r="AE111" s="21">
        <v>0</v>
      </c>
      <c r="AF111" s="21">
        <v>1898.6432236600001</v>
      </c>
      <c r="AG111" s="21">
        <v>0</v>
      </c>
      <c r="AH111" s="21">
        <v>0</v>
      </c>
      <c r="AI111" s="21">
        <v>0</v>
      </c>
      <c r="AJ111" s="21">
        <v>0</v>
      </c>
      <c r="AK111" s="21">
        <v>0</v>
      </c>
      <c r="AL111" s="21">
        <v>348.107849821</v>
      </c>
      <c r="AM111" s="21">
        <v>0</v>
      </c>
      <c r="AN111" s="21">
        <v>0</v>
      </c>
      <c r="AO111" s="21">
        <v>0</v>
      </c>
      <c r="AP111" s="22">
        <v>0</v>
      </c>
      <c r="AQ111" s="22">
        <v>0</v>
      </c>
      <c r="AR111" s="22">
        <v>4.72739056234E-4</v>
      </c>
      <c r="AS111" s="22">
        <v>0</v>
      </c>
      <c r="AT111" s="22">
        <v>0</v>
      </c>
      <c r="AU111" s="22">
        <v>0.16887904108400001</v>
      </c>
      <c r="AV111" s="22">
        <v>0</v>
      </c>
      <c r="AW111" s="22">
        <v>0</v>
      </c>
      <c r="AX111" s="22">
        <v>0</v>
      </c>
      <c r="AY111" s="22">
        <v>0</v>
      </c>
      <c r="AZ111" s="22">
        <v>0</v>
      </c>
      <c r="BA111" s="22">
        <v>0</v>
      </c>
      <c r="BB111" s="7">
        <v>194.98482398100001</v>
      </c>
      <c r="BC111" s="1">
        <v>1.0886652649600001E-2</v>
      </c>
      <c r="BD111" s="9">
        <v>1</v>
      </c>
      <c r="BE111" s="9">
        <v>0</v>
      </c>
      <c r="BF111" s="10">
        <v>0</v>
      </c>
      <c r="BG111" s="11">
        <v>-74.134567410900004</v>
      </c>
      <c r="BH111" s="15">
        <v>4.8888888888888893</v>
      </c>
      <c r="BI111" s="20">
        <v>1</v>
      </c>
      <c r="BJ111" s="15">
        <v>4.8888888888888893</v>
      </c>
      <c r="BK111" s="13">
        <f t="shared" si="39"/>
        <v>1342439458.7017546</v>
      </c>
      <c r="BL111" s="13">
        <f t="shared" si="30"/>
        <v>8604646025.4882469</v>
      </c>
      <c r="BM111" s="14">
        <v>13.495806996284907</v>
      </c>
      <c r="BN111" s="14">
        <v>86.504193003715088</v>
      </c>
      <c r="BO111" s="16">
        <v>0.20836712302628441</v>
      </c>
      <c r="BP111" s="16">
        <v>7.6477603396460425E-2</v>
      </c>
      <c r="BQ111" s="16">
        <v>0.38058681818181822</v>
      </c>
      <c r="BR111" s="16">
        <v>5.5547818181818191E-2</v>
      </c>
      <c r="BS111" s="16">
        <v>4.2300000000000003E-3</v>
      </c>
      <c r="BT111" s="16">
        <v>8.3645454545454552</v>
      </c>
      <c r="BU111" s="16">
        <v>3.9118181818181821</v>
      </c>
      <c r="BV111" s="16">
        <v>0.42300000000000004</v>
      </c>
      <c r="BW111" s="16">
        <f>BT111*4</f>
        <v>33.458181818181821</v>
      </c>
      <c r="BX111" s="16">
        <f>BU111*1.29</f>
        <v>5.0462454545454554</v>
      </c>
      <c r="BY111" s="16">
        <f>BV111*1.47</f>
        <v>0.62181000000000008</v>
      </c>
      <c r="BZ111" s="16">
        <v>7.2399999999999999E-3</v>
      </c>
      <c r="CA111" s="16">
        <f t="shared" si="51"/>
        <v>25.218626571428572</v>
      </c>
      <c r="CB111" s="9">
        <f t="shared" si="52"/>
        <v>14.342603634975909</v>
      </c>
      <c r="CC111" s="16">
        <f t="shared" si="53"/>
        <v>0.17337533749940373</v>
      </c>
      <c r="CD111" s="16">
        <f t="shared" si="54"/>
        <v>0.56505690979344569</v>
      </c>
      <c r="CE111" s="17">
        <f t="shared" si="55"/>
        <v>15.081035882268759</v>
      </c>
      <c r="CF111" s="9">
        <f t="shared" si="56"/>
        <v>7.2653723226637403</v>
      </c>
      <c r="CG111" s="18">
        <v>2407554.5454545454</v>
      </c>
      <c r="CH111" s="9">
        <f t="shared" si="37"/>
        <v>1.7459810977825467</v>
      </c>
      <c r="CI111" s="9">
        <f t="shared" si="38"/>
        <v>0.20871396607301923</v>
      </c>
      <c r="CJ111" s="5">
        <v>0</v>
      </c>
      <c r="CK111" s="5">
        <v>0</v>
      </c>
      <c r="CL111" s="5">
        <v>0</v>
      </c>
    </row>
    <row r="112" spans="1:90" x14ac:dyDescent="0.25">
      <c r="A112" s="2" t="s">
        <v>268</v>
      </c>
      <c r="B112" s="1" t="s">
        <v>110</v>
      </c>
      <c r="C112" s="1" t="s">
        <v>336</v>
      </c>
      <c r="D112" s="1" t="s">
        <v>336</v>
      </c>
      <c r="E112" s="1" t="s">
        <v>337</v>
      </c>
      <c r="F112" s="21">
        <v>5831.4894510100003</v>
      </c>
      <c r="G112" s="22">
        <v>0.498612957139</v>
      </c>
      <c r="H112" s="22">
        <v>3.17693467438E-6</v>
      </c>
      <c r="I112" s="22">
        <v>2661837695.4099998</v>
      </c>
      <c r="J112" s="22">
        <v>609403.35008100001</v>
      </c>
      <c r="K112" s="22">
        <f t="shared" si="48"/>
        <v>9.5691785255773478</v>
      </c>
      <c r="L112" s="22">
        <f t="shared" si="49"/>
        <v>8.1819858238837355</v>
      </c>
      <c r="M112" s="22">
        <f t="shared" si="50"/>
        <v>4.3679406997946382</v>
      </c>
      <c r="N112" s="21">
        <v>3232.22122683</v>
      </c>
      <c r="O112" s="21">
        <v>2599.2682173799999</v>
      </c>
      <c r="P112" s="22">
        <v>0.27617786800600003</v>
      </c>
      <c r="Q112" s="22">
        <v>0.22243508854900002</v>
      </c>
      <c r="R112" s="23">
        <v>2902.3836498400001</v>
      </c>
      <c r="S112" s="23">
        <v>329.83757284799998</v>
      </c>
      <c r="T112" s="23">
        <v>0</v>
      </c>
      <c r="U112" s="23">
        <v>2343.9297978700001</v>
      </c>
      <c r="V112" s="23">
        <v>255.33841421899999</v>
      </c>
      <c r="W112" s="23">
        <v>0</v>
      </c>
      <c r="X112" s="22">
        <v>0.25815896399999999</v>
      </c>
      <c r="Y112" s="22">
        <v>1.80189043869E-2</v>
      </c>
      <c r="Z112" s="22">
        <v>0</v>
      </c>
      <c r="AA112" s="22">
        <v>0.20848604555300002</v>
      </c>
      <c r="AB112" s="22">
        <v>1.39490430141E-2</v>
      </c>
      <c r="AC112" s="22">
        <v>0</v>
      </c>
      <c r="AD112" s="21">
        <v>141.677666652</v>
      </c>
      <c r="AE112" s="21">
        <v>2411.7085662300001</v>
      </c>
      <c r="AF112" s="21">
        <v>348.99742649699999</v>
      </c>
      <c r="AG112" s="21">
        <v>88.007590641200011</v>
      </c>
      <c r="AH112" s="21">
        <v>2255.9222119699998</v>
      </c>
      <c r="AI112" s="21">
        <v>0</v>
      </c>
      <c r="AJ112" s="21">
        <v>16.181822321799999</v>
      </c>
      <c r="AK112" s="21">
        <v>273.87702852499996</v>
      </c>
      <c r="AL112" s="21">
        <v>39.778720327799995</v>
      </c>
      <c r="AM112" s="21">
        <v>9.5871977890700002</v>
      </c>
      <c r="AN112" s="21">
        <v>245.75121667400001</v>
      </c>
      <c r="AO112" s="21">
        <v>0</v>
      </c>
      <c r="AP112" s="22">
        <v>8.8400696152099998E-4</v>
      </c>
      <c r="AQ112" s="22">
        <v>1.4961800662700002E-2</v>
      </c>
      <c r="AR112" s="22">
        <v>2.1730967595E-3</v>
      </c>
      <c r="AS112" s="22">
        <v>1.26018348996E-2</v>
      </c>
      <c r="AT112" s="22">
        <v>0.21451477753600001</v>
      </c>
      <c r="AU112" s="22">
        <v>3.1042351607800001E-2</v>
      </c>
      <c r="AV112" s="22">
        <v>7.8280307109999999E-3</v>
      </c>
      <c r="AW112" s="22">
        <v>0.20065801450599999</v>
      </c>
      <c r="AX112" s="22">
        <v>0</v>
      </c>
      <c r="AY112" s="22">
        <v>5.2374506450899997E-4</v>
      </c>
      <c r="AZ112" s="22">
        <v>1.34252979417E-2</v>
      </c>
      <c r="BA112" s="22">
        <v>0</v>
      </c>
      <c r="BB112" s="7">
        <v>335.11386233600001</v>
      </c>
      <c r="BC112" s="1">
        <v>1.03326773615E-2</v>
      </c>
      <c r="BD112" s="9">
        <v>0.17199999999999999</v>
      </c>
      <c r="BE112" s="9">
        <v>0.76300000000000001</v>
      </c>
      <c r="BF112" s="10">
        <v>6.5000000000000002E-2</v>
      </c>
      <c r="BG112" s="11">
        <v>-40.278467983399999</v>
      </c>
      <c r="BH112" s="15">
        <v>196.66666666666666</v>
      </c>
      <c r="BI112" s="20">
        <v>1</v>
      </c>
      <c r="BJ112" s="15">
        <v>196.66666666666666</v>
      </c>
      <c r="BK112" s="13">
        <f t="shared" si="39"/>
        <v>852201547.15522873</v>
      </c>
      <c r="BL112" s="13">
        <f t="shared" si="30"/>
        <v>1809636148.2547705</v>
      </c>
      <c r="BM112" s="14">
        <v>32.01553380300917</v>
      </c>
      <c r="BN112" s="14">
        <v>67.984466196990809</v>
      </c>
      <c r="BO112" s="16">
        <v>0</v>
      </c>
      <c r="BP112" s="16">
        <v>0</v>
      </c>
      <c r="BQ112" s="16">
        <v>2.2049300000000001</v>
      </c>
      <c r="BR112" s="16">
        <v>0.51468545454545456</v>
      </c>
      <c r="BS112" s="16">
        <v>0.32288181818181827</v>
      </c>
      <c r="BT112" s="16">
        <v>48.460000000000008</v>
      </c>
      <c r="BU112" s="16">
        <v>36.24545454545455</v>
      </c>
      <c r="BV112" s="16">
        <v>32.288181818181826</v>
      </c>
      <c r="BW112" s="16">
        <f>BT112*3.06</f>
        <v>148.28760000000003</v>
      </c>
      <c r="BX112" s="16">
        <f>BU112*1.14</f>
        <v>41.319818181818185</v>
      </c>
      <c r="BY112" s="16">
        <f>BV112*0.74</f>
        <v>23.89325454545455</v>
      </c>
      <c r="BZ112" s="16">
        <v>4.8500000000000001E-3</v>
      </c>
      <c r="CA112" s="16">
        <f t="shared" si="51"/>
        <v>97.873623571428581</v>
      </c>
      <c r="CB112" s="9">
        <f t="shared" si="52"/>
        <v>0</v>
      </c>
      <c r="CC112" s="16">
        <f t="shared" si="53"/>
        <v>0</v>
      </c>
      <c r="CD112" s="16">
        <f t="shared" si="54"/>
        <v>0</v>
      </c>
      <c r="CE112" s="17">
        <f t="shared" si="55"/>
        <v>0</v>
      </c>
      <c r="CF112" s="9">
        <f t="shared" si="56"/>
        <v>0</v>
      </c>
      <c r="CG112" s="18">
        <v>697818.18181818188</v>
      </c>
      <c r="CH112" s="9">
        <f t="shared" si="37"/>
        <v>2.1231099150413222</v>
      </c>
      <c r="CI112" s="9">
        <f t="shared" si="38"/>
        <v>0.21728264530807562</v>
      </c>
      <c r="CJ112" s="5">
        <v>8.9158122237054549</v>
      </c>
      <c r="CK112" s="5">
        <v>0</v>
      </c>
      <c r="CL112" s="5">
        <v>8.9158122237054549</v>
      </c>
    </row>
    <row r="113" spans="1:90" x14ac:dyDescent="0.25">
      <c r="A113" s="2" t="s">
        <v>269</v>
      </c>
      <c r="B113" s="1" t="s">
        <v>111</v>
      </c>
      <c r="C113" s="1" t="s">
        <v>321</v>
      </c>
      <c r="D113" s="1" t="s">
        <v>335</v>
      </c>
      <c r="E113" s="1" t="s">
        <v>329</v>
      </c>
      <c r="F113" s="21">
        <v>2909.0437898599998</v>
      </c>
      <c r="G113" s="22">
        <v>0.46790656676299996</v>
      </c>
      <c r="H113" s="22">
        <v>1.30849072723E-2</v>
      </c>
      <c r="I113" s="22">
        <v>1241462357.1900001</v>
      </c>
      <c r="J113" s="22">
        <v>52865.098338900003</v>
      </c>
      <c r="K113" s="22">
        <f t="shared" si="48"/>
        <v>55.027681424351435</v>
      </c>
      <c r="L113" s="22">
        <f t="shared" si="49"/>
        <v>88.50954248933985</v>
      </c>
      <c r="M113" s="22">
        <f t="shared" si="50"/>
        <v>23.483591182057602</v>
      </c>
      <c r="N113" s="21">
        <v>2909.0437898599998</v>
      </c>
      <c r="O113" s="21">
        <v>0</v>
      </c>
      <c r="P113" s="22">
        <v>0.46790656676299996</v>
      </c>
      <c r="Q113" s="22">
        <v>0</v>
      </c>
      <c r="R113" s="23">
        <v>1485.8314207200001</v>
      </c>
      <c r="S113" s="23">
        <v>1423.21237425</v>
      </c>
      <c r="T113" s="23">
        <v>0</v>
      </c>
      <c r="U113" s="23">
        <v>0</v>
      </c>
      <c r="V113" s="23">
        <v>0</v>
      </c>
      <c r="W113" s="23">
        <v>0</v>
      </c>
      <c r="X113" s="22">
        <v>0.13216057674600001</v>
      </c>
      <c r="Y113" s="22">
        <v>0.33574598883599999</v>
      </c>
      <c r="Z113" s="22">
        <v>0</v>
      </c>
      <c r="AA113" s="22">
        <v>0</v>
      </c>
      <c r="AB113" s="22">
        <v>0</v>
      </c>
      <c r="AC113" s="22">
        <v>0</v>
      </c>
      <c r="AD113" s="21">
        <v>135.83167200600002</v>
      </c>
      <c r="AE113" s="21">
        <v>206.830032523</v>
      </c>
      <c r="AF113" s="21">
        <v>1143.1697087800001</v>
      </c>
      <c r="AG113" s="21">
        <v>0</v>
      </c>
      <c r="AH113" s="21">
        <v>0</v>
      </c>
      <c r="AI113" s="21">
        <v>0</v>
      </c>
      <c r="AJ113" s="21">
        <v>129.79240604500001</v>
      </c>
      <c r="AK113" s="21">
        <v>197.560131904</v>
      </c>
      <c r="AL113" s="21">
        <v>1095.8598364500001</v>
      </c>
      <c r="AM113" s="21">
        <v>0</v>
      </c>
      <c r="AN113" s="21">
        <v>0</v>
      </c>
      <c r="AO113" s="21">
        <v>0</v>
      </c>
      <c r="AP113" s="22">
        <v>3.0618957874799999E-2</v>
      </c>
      <c r="AQ113" s="22">
        <v>4.6605849526900001E-2</v>
      </c>
      <c r="AR113" s="22">
        <v>0.25852118118599998</v>
      </c>
      <c r="AS113" s="22">
        <v>1.20818499067E-2</v>
      </c>
      <c r="AT113" s="22">
        <v>1.8396956820900003E-2</v>
      </c>
      <c r="AU113" s="22">
        <v>0.101681770006</v>
      </c>
      <c r="AV113" s="22">
        <v>0</v>
      </c>
      <c r="AW113" s="22">
        <v>0</v>
      </c>
      <c r="AX113" s="22">
        <v>0</v>
      </c>
      <c r="AY113" s="22">
        <v>0</v>
      </c>
      <c r="AZ113" s="22">
        <v>0</v>
      </c>
      <c r="BA113" s="22">
        <v>0</v>
      </c>
      <c r="BB113" s="7">
        <v>563.17788562199996</v>
      </c>
      <c r="BC113" s="1">
        <v>1.9867664112999998E-2</v>
      </c>
      <c r="BD113" s="9">
        <v>0.79300000000000004</v>
      </c>
      <c r="BE113" s="9">
        <v>0.113</v>
      </c>
      <c r="BF113" s="10">
        <v>9.4E-2</v>
      </c>
      <c r="BG113" s="11">
        <v>-46.283057685400003</v>
      </c>
      <c r="BH113" s="15">
        <v>849.11111111111109</v>
      </c>
      <c r="BI113" s="20">
        <v>1.0001821493624772</v>
      </c>
      <c r="BJ113" s="15">
        <v>849.26577615867222</v>
      </c>
      <c r="BK113" s="13">
        <f t="shared" si="39"/>
        <v>1241462357.1900001</v>
      </c>
      <c r="BL113" s="13">
        <f t="shared" si="30"/>
        <v>0</v>
      </c>
      <c r="BM113" s="14">
        <v>100</v>
      </c>
      <c r="BN113" s="14">
        <v>0</v>
      </c>
      <c r="BO113" s="16">
        <v>0.2936337209302326</v>
      </c>
      <c r="BP113" s="16">
        <v>0.1077732558139535</v>
      </c>
      <c r="BQ113" s="16">
        <v>4.4879545454545458</v>
      </c>
      <c r="BR113" s="16">
        <v>0.2991423636363636</v>
      </c>
      <c r="BS113" s="16">
        <v>0.93856363636363627</v>
      </c>
      <c r="BT113" s="16">
        <v>98.63636363636364</v>
      </c>
      <c r="BU113" s="16">
        <v>21.066363636363636</v>
      </c>
      <c r="BV113" s="16">
        <v>93.856363636363639</v>
      </c>
      <c r="BW113" s="16">
        <f>BT113*4</f>
        <v>394.54545454545456</v>
      </c>
      <c r="BX113" s="16">
        <f>BU113*1.29</f>
        <v>27.175609090909091</v>
      </c>
      <c r="BY113" s="16">
        <f>BV113*1.47</f>
        <v>137.96885454545455</v>
      </c>
      <c r="BZ113" s="16">
        <v>8.5599999999999999E-3</v>
      </c>
      <c r="CA113" s="16">
        <f t="shared" si="51"/>
        <v>351.60199999999998</v>
      </c>
      <c r="CB113" s="9">
        <f t="shared" si="52"/>
        <v>20.211787790697677</v>
      </c>
      <c r="CC113" s="16">
        <f t="shared" si="53"/>
        <v>0.24432283139534888</v>
      </c>
      <c r="CD113" s="16">
        <f t="shared" si="54"/>
        <v>0.79628571220930255</v>
      </c>
      <c r="CE113" s="17">
        <f t="shared" si="55"/>
        <v>21.252396334302329</v>
      </c>
      <c r="CF113" s="9">
        <f t="shared" si="56"/>
        <v>10.238459302325582</v>
      </c>
      <c r="CG113" s="18">
        <v>70145.454545454544</v>
      </c>
      <c r="CH113" s="9">
        <f t="shared" si="37"/>
        <v>0.42978593637532186</v>
      </c>
      <c r="CI113" s="9">
        <f t="shared" si="38"/>
        <v>6.6131926207119371E-2</v>
      </c>
      <c r="CJ113" s="5">
        <v>54.730435094193709</v>
      </c>
      <c r="CK113" s="5">
        <v>38.121117049867273</v>
      </c>
      <c r="CL113" s="5">
        <v>71.98769891990176</v>
      </c>
    </row>
    <row r="114" spans="1:90" x14ac:dyDescent="0.25">
      <c r="A114" s="2" t="s">
        <v>270</v>
      </c>
      <c r="B114" s="1" t="s">
        <v>112</v>
      </c>
      <c r="C114" s="1" t="s">
        <v>321</v>
      </c>
      <c r="D114" s="1" t="s">
        <v>322</v>
      </c>
      <c r="E114" s="1" t="s">
        <v>323</v>
      </c>
      <c r="F114" s="21">
        <v>134675.247309</v>
      </c>
      <c r="G114" s="22">
        <v>12.3905569817</v>
      </c>
      <c r="H114" s="22">
        <v>0.199741580872</v>
      </c>
      <c r="I114" s="22">
        <v>166493549458</v>
      </c>
      <c r="J114" s="22">
        <v>16695978.7467</v>
      </c>
      <c r="K114" s="22">
        <f t="shared" si="48"/>
        <v>8.0663283867451536</v>
      </c>
      <c r="L114" s="22">
        <f t="shared" si="49"/>
        <v>7.4212821959593249</v>
      </c>
      <c r="M114" s="22">
        <f t="shared" si="50"/>
        <v>9.9720748321453065</v>
      </c>
      <c r="N114" s="21">
        <v>134675.247309</v>
      </c>
      <c r="O114" s="21">
        <v>0</v>
      </c>
      <c r="P114" s="22">
        <v>12.3905569817</v>
      </c>
      <c r="Q114" s="22">
        <v>0</v>
      </c>
      <c r="R114" s="23">
        <v>120260.963632</v>
      </c>
      <c r="S114" s="23">
        <v>14414.283677400001</v>
      </c>
      <c r="T114" s="23">
        <v>0</v>
      </c>
      <c r="U114" s="23">
        <v>0</v>
      </c>
      <c r="V114" s="23">
        <v>0</v>
      </c>
      <c r="W114" s="23">
        <v>0</v>
      </c>
      <c r="X114" s="22">
        <v>10.696878660900001</v>
      </c>
      <c r="Y114" s="22">
        <v>1.6936783312200001</v>
      </c>
      <c r="Z114" s="22">
        <v>0</v>
      </c>
      <c r="AA114" s="22">
        <v>0</v>
      </c>
      <c r="AB114" s="22">
        <v>0</v>
      </c>
      <c r="AC114" s="22">
        <v>0</v>
      </c>
      <c r="AD114" s="21">
        <v>0</v>
      </c>
      <c r="AE114" s="21">
        <v>0</v>
      </c>
      <c r="AF114" s="21">
        <v>120260.963565</v>
      </c>
      <c r="AG114" s="21">
        <v>0</v>
      </c>
      <c r="AH114" s="21">
        <v>0</v>
      </c>
      <c r="AI114" s="21">
        <v>0</v>
      </c>
      <c r="AJ114" s="21">
        <v>0</v>
      </c>
      <c r="AK114" s="21">
        <v>0</v>
      </c>
      <c r="AL114" s="21">
        <v>14414.283676499999</v>
      </c>
      <c r="AM114" s="21">
        <v>0</v>
      </c>
      <c r="AN114" s="21">
        <v>0</v>
      </c>
      <c r="AO114" s="21">
        <v>0</v>
      </c>
      <c r="AP114" s="22">
        <v>0</v>
      </c>
      <c r="AQ114" s="22">
        <v>0</v>
      </c>
      <c r="AR114" s="22">
        <v>1.6936783314199999</v>
      </c>
      <c r="AS114" s="22">
        <v>0</v>
      </c>
      <c r="AT114" s="22">
        <v>0</v>
      </c>
      <c r="AU114" s="22">
        <v>10.696878661</v>
      </c>
      <c r="AV114" s="22">
        <v>0</v>
      </c>
      <c r="AW114" s="22">
        <v>0</v>
      </c>
      <c r="AX114" s="22">
        <v>0</v>
      </c>
      <c r="AY114" s="22">
        <v>0</v>
      </c>
      <c r="AZ114" s="22">
        <v>0</v>
      </c>
      <c r="BA114" s="22">
        <v>0</v>
      </c>
      <c r="BB114" s="7">
        <v>3208.5953071099998</v>
      </c>
      <c r="BC114" s="1">
        <v>0.17914657073999998</v>
      </c>
      <c r="BD114" s="9">
        <v>1</v>
      </c>
      <c r="BE114" s="9">
        <v>0</v>
      </c>
      <c r="BF114" s="10">
        <v>0</v>
      </c>
      <c r="BG114" s="11">
        <v>-37.504330640100001</v>
      </c>
      <c r="BH114" s="15">
        <v>423</v>
      </c>
      <c r="BI114" s="20">
        <v>1</v>
      </c>
      <c r="BJ114" s="15">
        <v>423</v>
      </c>
      <c r="BK114" s="13">
        <f t="shared" si="39"/>
        <v>54864353438.66243</v>
      </c>
      <c r="BL114" s="13">
        <f t="shared" si="30"/>
        <v>111629196019.33759</v>
      </c>
      <c r="BM114" s="14">
        <v>32.952840285564712</v>
      </c>
      <c r="BN114" s="14">
        <v>67.047159714435296</v>
      </c>
      <c r="BO114" s="16">
        <v>0.928516520068002</v>
      </c>
      <c r="BP114" s="16">
        <v>0.34079617329968426</v>
      </c>
      <c r="BQ114" s="16">
        <v>4.001021818181818</v>
      </c>
      <c r="BR114" s="16">
        <v>0.33586872727272726</v>
      </c>
      <c r="BS114" s="16">
        <v>8.4818181818181806E-3</v>
      </c>
      <c r="BT114" s="16">
        <v>87.934545454545457</v>
      </c>
      <c r="BU114" s="16">
        <v>23.652727272727272</v>
      </c>
      <c r="BV114" s="16">
        <v>0.84818181818181815</v>
      </c>
      <c r="BW114" s="16">
        <f>BT114*4</f>
        <v>351.73818181818183</v>
      </c>
      <c r="BX114" s="16">
        <f>BU114*1.29</f>
        <v>30.512018181818181</v>
      </c>
      <c r="BY114" s="16">
        <f>BV114*1.47</f>
        <v>1.2468272727272727</v>
      </c>
      <c r="BZ114" s="16">
        <v>7.2399999999999999E-3</v>
      </c>
      <c r="CA114" s="16">
        <f t="shared" si="51"/>
        <v>265.11762971428573</v>
      </c>
      <c r="CB114" s="9">
        <f t="shared" si="52"/>
        <v>63.912887131347468</v>
      </c>
      <c r="CC114" s="16">
        <f t="shared" si="53"/>
        <v>0.7725876457979155</v>
      </c>
      <c r="CD114" s="16">
        <f t="shared" si="54"/>
        <v>2.517982049671077</v>
      </c>
      <c r="CE114" s="17">
        <f t="shared" si="55"/>
        <v>67.203456826816463</v>
      </c>
      <c r="CF114" s="9">
        <f t="shared" si="56"/>
        <v>32.375636463470002</v>
      </c>
      <c r="CG114" s="18">
        <v>31126000</v>
      </c>
      <c r="CH114" s="9">
        <f t="shared" si="37"/>
        <v>174.76268708430803</v>
      </c>
      <c r="CI114" s="9">
        <f t="shared" si="38"/>
        <v>23.288278671131224</v>
      </c>
      <c r="CJ114" s="5">
        <v>38.990444753437856</v>
      </c>
      <c r="CK114" s="5">
        <v>11.744110600269691</v>
      </c>
      <c r="CL114" s="5">
        <v>46.15547439832676</v>
      </c>
    </row>
    <row r="115" spans="1:90" x14ac:dyDescent="0.25">
      <c r="A115" s="2" t="s">
        <v>271</v>
      </c>
      <c r="B115" s="1" t="s">
        <v>113</v>
      </c>
      <c r="C115" s="1" t="s">
        <v>332</v>
      </c>
      <c r="D115" s="1" t="s">
        <v>338</v>
      </c>
      <c r="E115" s="1" t="s">
        <v>339</v>
      </c>
      <c r="F115" s="21">
        <v>83.145696817200005</v>
      </c>
      <c r="G115" s="22">
        <v>7.0743422579800002E-3</v>
      </c>
      <c r="H115" s="22">
        <v>0</v>
      </c>
      <c r="I115" s="22">
        <v>206851877.43900001</v>
      </c>
      <c r="J115" s="22">
        <v>34531.520202300002</v>
      </c>
      <c r="K115" s="22">
        <f t="shared" si="48"/>
        <v>2.407820342982236</v>
      </c>
      <c r="L115" s="22">
        <f t="shared" si="49"/>
        <v>2.0486622704519122</v>
      </c>
      <c r="M115" s="22">
        <f t="shared" si="50"/>
        <v>5.9902337408598205</v>
      </c>
      <c r="N115" s="21">
        <v>37.532711564400003</v>
      </c>
      <c r="O115" s="21">
        <v>45.612984916499997</v>
      </c>
      <c r="P115" s="22">
        <v>3.17826911384E-3</v>
      </c>
      <c r="Q115" s="22">
        <v>3.8960731427900002E-3</v>
      </c>
      <c r="R115" s="23">
        <v>19.680321087999999</v>
      </c>
      <c r="S115" s="23">
        <v>17.852390358600001</v>
      </c>
      <c r="T115" s="23">
        <v>0</v>
      </c>
      <c r="U115" s="23">
        <v>27.658734483899998</v>
      </c>
      <c r="V115" s="23">
        <v>17.954250406100002</v>
      </c>
      <c r="W115" s="23">
        <v>0</v>
      </c>
      <c r="X115" s="22">
        <v>1.75050990222E-3</v>
      </c>
      <c r="Y115" s="22">
        <v>1.4277592012899999E-3</v>
      </c>
      <c r="Z115" s="22">
        <v>0</v>
      </c>
      <c r="AA115" s="22">
        <v>2.46016760318E-3</v>
      </c>
      <c r="AB115" s="22">
        <v>1.4359055370700001E-3</v>
      </c>
      <c r="AC115" s="22">
        <v>0</v>
      </c>
      <c r="AD115" s="21">
        <v>2.8111050026400002</v>
      </c>
      <c r="AE115" s="21">
        <v>3.40941747855</v>
      </c>
      <c r="AF115" s="21">
        <v>13.4597986534</v>
      </c>
      <c r="AG115" s="21">
        <v>9.8452407188599995</v>
      </c>
      <c r="AH115" s="21">
        <v>17.813493720699999</v>
      </c>
      <c r="AI115" s="21">
        <v>0</v>
      </c>
      <c r="AJ115" s="21">
        <v>2.5354155929899997</v>
      </c>
      <c r="AK115" s="21">
        <v>3.06148607579</v>
      </c>
      <c r="AL115" s="21">
        <v>12.255488663000001</v>
      </c>
      <c r="AM115" s="21">
        <v>6.3908896045000008</v>
      </c>
      <c r="AN115" s="21">
        <v>11.563360807</v>
      </c>
      <c r="AO115" s="21">
        <v>0</v>
      </c>
      <c r="AP115" s="22">
        <v>2.0277188871399999E-4</v>
      </c>
      <c r="AQ115" s="22">
        <v>2.4484479656499997E-4</v>
      </c>
      <c r="AR115" s="22">
        <v>9.8014250886700001E-4</v>
      </c>
      <c r="AS115" s="22">
        <v>2.5003998066800001E-4</v>
      </c>
      <c r="AT115" s="22">
        <v>3.0325821551499999E-4</v>
      </c>
      <c r="AU115" s="22">
        <v>1.1972117066099998E-3</v>
      </c>
      <c r="AV115" s="22">
        <v>8.7570681691700005E-4</v>
      </c>
      <c r="AW115" s="22">
        <v>1.58446078753E-3</v>
      </c>
      <c r="AX115" s="22">
        <v>0</v>
      </c>
      <c r="AY115" s="22">
        <v>5.1111650732300006E-4</v>
      </c>
      <c r="AZ115" s="22">
        <v>9.2478902987100007E-4</v>
      </c>
      <c r="BA115" s="22">
        <v>0</v>
      </c>
      <c r="BB115" s="7">
        <v>100.248432331</v>
      </c>
      <c r="BC115" s="1">
        <v>1.9771218490599999E-3</v>
      </c>
      <c r="BD115" s="9">
        <v>0.74399999999999999</v>
      </c>
      <c r="BE115" s="9">
        <v>0.11600000000000001</v>
      </c>
      <c r="BF115" s="10">
        <v>0.14000000000000001</v>
      </c>
      <c r="BG115" s="11">
        <v>-21.915697953799999</v>
      </c>
      <c r="BH115" s="15">
        <v>291.22222222222223</v>
      </c>
      <c r="BI115" s="20">
        <v>0.98863636363636365</v>
      </c>
      <c r="BJ115" s="15">
        <v>287.91287878787881</v>
      </c>
      <c r="BK115" s="13">
        <f t="shared" si="39"/>
        <v>23195506.305233326</v>
      </c>
      <c r="BL115" s="13">
        <f t="shared" si="30"/>
        <v>183656371.13376671</v>
      </c>
      <c r="BM115" s="14">
        <v>11.21358268168178</v>
      </c>
      <c r="BN115" s="14">
        <v>88.786417318318229</v>
      </c>
      <c r="BO115" s="16">
        <v>1.5269950413223139</v>
      </c>
      <c r="BP115" s="16">
        <v>0.64052288075560793</v>
      </c>
      <c r="BQ115" s="16">
        <v>1.0507604545454545</v>
      </c>
      <c r="BR115" s="16">
        <v>7.4769454545454528E-2</v>
      </c>
      <c r="BS115" s="16">
        <v>6.369090909090909E-2</v>
      </c>
      <c r="BT115" s="16">
        <v>23.09363636363636</v>
      </c>
      <c r="BU115" s="16">
        <v>5.2654545454545465</v>
      </c>
      <c r="BV115" s="16">
        <v>6.3690909090909091</v>
      </c>
      <c r="BW115" s="16">
        <f>BT115*3.53</f>
        <v>81.520536363636353</v>
      </c>
      <c r="BX115" s="16">
        <f>BU115*0.54</f>
        <v>2.8433454545454553</v>
      </c>
      <c r="BY115" s="16">
        <f>BV115*1.02</f>
        <v>6.4964727272727272</v>
      </c>
      <c r="BZ115" s="16">
        <v>2.4420000000000001E-2</v>
      </c>
      <c r="CA115" s="16">
        <f t="shared" si="51"/>
        <v>234.84347699999998</v>
      </c>
      <c r="CB115" s="9">
        <f t="shared" si="52"/>
        <v>105.10815867768594</v>
      </c>
      <c r="CC115" s="16">
        <f t="shared" si="53"/>
        <v>1.2705616740495869</v>
      </c>
      <c r="CD115" s="16">
        <f t="shared" si="54"/>
        <v>4.1409560528925615</v>
      </c>
      <c r="CE115" s="17">
        <f t="shared" si="55"/>
        <v>110.51967640462809</v>
      </c>
      <c r="CF115" s="9">
        <f t="shared" si="56"/>
        <v>60.849673671782753</v>
      </c>
      <c r="CG115" s="18">
        <v>713399.09090909094</v>
      </c>
      <c r="CH115" s="9">
        <f t="shared" si="37"/>
        <v>2.3946943657206257</v>
      </c>
      <c r="CI115" s="9">
        <f t="shared" si="38"/>
        <v>0.35461155588432824</v>
      </c>
      <c r="CJ115" s="5">
        <v>34.515236965707317</v>
      </c>
      <c r="CK115" s="5">
        <v>4.4262933810260181</v>
      </c>
      <c r="CL115" s="5">
        <v>37.413784697474775</v>
      </c>
    </row>
    <row r="116" spans="1:90" x14ac:dyDescent="0.25">
      <c r="A116" s="2" t="s">
        <v>272</v>
      </c>
      <c r="B116" s="1" t="s">
        <v>114</v>
      </c>
      <c r="C116" s="1" t="s">
        <v>334</v>
      </c>
      <c r="D116" s="1" t="s">
        <v>334</v>
      </c>
      <c r="E116" s="1" t="s">
        <v>339</v>
      </c>
      <c r="F116" s="21">
        <v>14311.144910499999</v>
      </c>
      <c r="G116" s="22">
        <v>1.18127302646</v>
      </c>
      <c r="H116" s="22">
        <v>4.0038507231099997E-4</v>
      </c>
      <c r="I116" s="22">
        <v>10159313636.700001</v>
      </c>
      <c r="J116" s="22">
        <v>1710992.79018</v>
      </c>
      <c r="K116" s="22">
        <f t="shared" si="48"/>
        <v>8.3642344915985518</v>
      </c>
      <c r="L116" s="22">
        <f t="shared" si="49"/>
        <v>6.9040210644939517</v>
      </c>
      <c r="M116" s="22">
        <f t="shared" si="50"/>
        <v>5.9376717979221993</v>
      </c>
      <c r="N116" s="21">
        <v>14134.395809400001</v>
      </c>
      <c r="O116" s="21">
        <v>176.749103147</v>
      </c>
      <c r="P116" s="22">
        <v>1.1666496211300001</v>
      </c>
      <c r="Q116" s="22">
        <v>1.4623409112400001E-2</v>
      </c>
      <c r="R116" s="23">
        <v>11173.092130499999</v>
      </c>
      <c r="S116" s="23">
        <v>2961.30368318</v>
      </c>
      <c r="T116" s="23">
        <v>0</v>
      </c>
      <c r="U116" s="23">
        <v>140.849035168</v>
      </c>
      <c r="V116" s="23">
        <v>35.900067975699997</v>
      </c>
      <c r="W116" s="23">
        <v>0</v>
      </c>
      <c r="X116" s="22">
        <v>0.99381550958700005</v>
      </c>
      <c r="Y116" s="22">
        <v>0.172834113003</v>
      </c>
      <c r="Z116" s="22">
        <v>0</v>
      </c>
      <c r="AA116" s="22">
        <v>1.25281304242E-2</v>
      </c>
      <c r="AB116" s="22">
        <v>2.0952786571800004E-3</v>
      </c>
      <c r="AC116" s="22">
        <v>0</v>
      </c>
      <c r="AD116" s="21">
        <v>66.690586548400006</v>
      </c>
      <c r="AE116" s="21">
        <v>174.27720367500001</v>
      </c>
      <c r="AF116" s="21">
        <v>10932.124351599999</v>
      </c>
      <c r="AG116" s="21">
        <v>24.575201177900002</v>
      </c>
      <c r="AH116" s="21">
        <v>116.273834104</v>
      </c>
      <c r="AI116" s="21">
        <v>0</v>
      </c>
      <c r="AJ116" s="21">
        <v>17.693205377999998</v>
      </c>
      <c r="AK116" s="21">
        <v>46.044228847099994</v>
      </c>
      <c r="AL116" s="21">
        <v>2897.56624689</v>
      </c>
      <c r="AM116" s="21">
        <v>6.2638085534499996</v>
      </c>
      <c r="AN116" s="21">
        <v>29.636259427700001</v>
      </c>
      <c r="AO116" s="21">
        <v>0</v>
      </c>
      <c r="AP116" s="22">
        <v>1.03264973387E-3</v>
      </c>
      <c r="AQ116" s="22">
        <v>2.6873344653600001E-3</v>
      </c>
      <c r="AR116" s="22">
        <v>0.16911412864200001</v>
      </c>
      <c r="AS116" s="22">
        <v>5.9319424212000002E-3</v>
      </c>
      <c r="AT116" s="22">
        <v>1.5501473173799999E-2</v>
      </c>
      <c r="AU116" s="22">
        <v>0.97238209360700001</v>
      </c>
      <c r="AV116" s="22">
        <v>2.1858958831799998E-3</v>
      </c>
      <c r="AW116" s="22">
        <v>1.03422345466E-2</v>
      </c>
      <c r="AX116" s="22">
        <v>0</v>
      </c>
      <c r="AY116" s="22">
        <v>3.6558216026499999E-4</v>
      </c>
      <c r="AZ116" s="22">
        <v>1.72969649637E-3</v>
      </c>
      <c r="BA116" s="22">
        <v>0</v>
      </c>
      <c r="BB116" s="7">
        <v>3005.63927358</v>
      </c>
      <c r="BC116" s="1">
        <v>5.92778854987E-2</v>
      </c>
      <c r="BD116" s="9">
        <v>0.98099999999999998</v>
      </c>
      <c r="BE116" s="9">
        <v>1.2999999999999999E-2</v>
      </c>
      <c r="BF116" s="10">
        <v>6.0000000000000001E-3</v>
      </c>
      <c r="BG116" s="11">
        <v>-74.7650147433</v>
      </c>
      <c r="BH116" s="15">
        <v>210.11111111111111</v>
      </c>
      <c r="BI116" s="20">
        <v>1</v>
      </c>
      <c r="BJ116" s="15">
        <v>210.11111111111111</v>
      </c>
      <c r="BK116" s="13">
        <f t="shared" si="39"/>
        <v>3042130387.3563266</v>
      </c>
      <c r="BL116" s="13">
        <f t="shared" si="30"/>
        <v>7117183249.3436747</v>
      </c>
      <c r="BM116" s="14">
        <v>29.94425111915815</v>
      </c>
      <c r="BN116" s="14">
        <v>70.055748880841847</v>
      </c>
      <c r="BO116" s="16">
        <v>0.2503602852009546</v>
      </c>
      <c r="BP116" s="16">
        <v>0.10501768949088708</v>
      </c>
      <c r="BQ116" s="16">
        <v>1.6671613636363636</v>
      </c>
      <c r="BR116" s="16">
        <v>0.16722436363636362</v>
      </c>
      <c r="BS116" s="16">
        <v>8.3100000000000007E-2</v>
      </c>
      <c r="BT116" s="16">
        <v>36.640909090909098</v>
      </c>
      <c r="BU116" s="16">
        <v>11.776363636363635</v>
      </c>
      <c r="BV116" s="16">
        <v>8.31</v>
      </c>
      <c r="BW116" s="16">
        <f>BT116*3.53</f>
        <v>129.34240909090911</v>
      </c>
      <c r="BX116" s="16">
        <f>BU116*0.54</f>
        <v>6.3592363636363638</v>
      </c>
      <c r="BY116" s="16">
        <f>BV116*1.02</f>
        <v>8.4762000000000004</v>
      </c>
      <c r="BZ116" s="16">
        <v>2.4420000000000001E-2</v>
      </c>
      <c r="CA116" s="16">
        <f t="shared" si="51"/>
        <v>372.60820928571439</v>
      </c>
      <c r="CB116" s="9">
        <f t="shared" si="52"/>
        <v>17.233132964665707</v>
      </c>
      <c r="CC116" s="16">
        <f t="shared" si="53"/>
        <v>0.2083164479728743</v>
      </c>
      <c r="CD116" s="16">
        <f t="shared" si="54"/>
        <v>0.6789353667507888</v>
      </c>
      <c r="CE116" s="17">
        <f t="shared" si="55"/>
        <v>18.120384779389369</v>
      </c>
      <c r="CF116" s="9">
        <f t="shared" si="56"/>
        <v>9.9766805016342719</v>
      </c>
      <c r="CG116" s="18">
        <v>5782163.6363636358</v>
      </c>
      <c r="CH116" s="9">
        <f t="shared" si="37"/>
        <v>13.142069847910365</v>
      </c>
      <c r="CI116" s="9">
        <f t="shared" si="38"/>
        <v>3.1506033626554291</v>
      </c>
      <c r="CJ116" s="5">
        <v>9.4541491613133566</v>
      </c>
      <c r="CK116" s="5">
        <v>28.076753506470936</v>
      </c>
      <c r="CL116" s="5">
        <v>34.876484511628256</v>
      </c>
    </row>
    <row r="117" spans="1:90" x14ac:dyDescent="0.25">
      <c r="A117" s="2" t="s">
        <v>273</v>
      </c>
      <c r="B117" s="1" t="s">
        <v>115</v>
      </c>
      <c r="C117" s="1" t="s">
        <v>321</v>
      </c>
      <c r="D117" s="1" t="s">
        <v>342</v>
      </c>
      <c r="E117" s="1" t="s">
        <v>337</v>
      </c>
      <c r="F117" s="21">
        <v>11749.712391700001</v>
      </c>
      <c r="G117" s="22">
        <v>1.16066950523</v>
      </c>
      <c r="H117" s="22">
        <v>1.18668469317E-4</v>
      </c>
      <c r="I117" s="22">
        <v>44128554494.699997</v>
      </c>
      <c r="J117" s="22">
        <v>1778515.0343299999</v>
      </c>
      <c r="K117" s="22">
        <f t="shared" si="48"/>
        <v>6.6064734707887016</v>
      </c>
      <c r="L117" s="22">
        <f t="shared" si="49"/>
        <v>6.5260595655703639</v>
      </c>
      <c r="M117" s="22">
        <f t="shared" si="50"/>
        <v>24.812022188681723</v>
      </c>
      <c r="N117" s="21">
        <v>11461.4938502</v>
      </c>
      <c r="O117" s="21">
        <v>288.21854302499997</v>
      </c>
      <c r="P117" s="22">
        <v>1.1321277468900002</v>
      </c>
      <c r="Q117" s="22">
        <v>2.8541758089899998E-2</v>
      </c>
      <c r="R117" s="23">
        <v>8675.3351038700002</v>
      </c>
      <c r="S117" s="23">
        <v>2786.1587638000001</v>
      </c>
      <c r="T117" s="23">
        <v>0</v>
      </c>
      <c r="U117" s="23">
        <v>216.362877736</v>
      </c>
      <c r="V117" s="23">
        <v>71.855664957000002</v>
      </c>
      <c r="W117" s="23">
        <v>0</v>
      </c>
      <c r="X117" s="22">
        <v>0.77164696071100003</v>
      </c>
      <c r="Y117" s="22">
        <v>0.360480787729</v>
      </c>
      <c r="Z117" s="22">
        <v>0</v>
      </c>
      <c r="AA117" s="22">
        <v>1.9244876989000001E-2</v>
      </c>
      <c r="AB117" s="22">
        <v>9.2968811154000002E-3</v>
      </c>
      <c r="AC117" s="22">
        <v>0</v>
      </c>
      <c r="AD117" s="21">
        <v>53.285090435599997</v>
      </c>
      <c r="AE117" s="21">
        <v>26.049760348</v>
      </c>
      <c r="AF117" s="21">
        <v>8596.0002376000011</v>
      </c>
      <c r="AG117" s="21">
        <v>125.217265029</v>
      </c>
      <c r="AH117" s="21">
        <v>91.145612669200005</v>
      </c>
      <c r="AI117" s="21">
        <v>0</v>
      </c>
      <c r="AJ117" s="21">
        <v>17.081058345900001</v>
      </c>
      <c r="AK117" s="21">
        <v>8.5007591960899997</v>
      </c>
      <c r="AL117" s="21">
        <v>2760.5769378</v>
      </c>
      <c r="AM117" s="21">
        <v>41.585552874799994</v>
      </c>
      <c r="AN117" s="21">
        <v>30.270112325900001</v>
      </c>
      <c r="AO117" s="21">
        <v>0</v>
      </c>
      <c r="AP117" s="22">
        <v>2.2099937184200001E-3</v>
      </c>
      <c r="AQ117" s="22">
        <v>1.0998513150999999E-3</v>
      </c>
      <c r="AR117" s="22">
        <v>0.35717094305500002</v>
      </c>
      <c r="AS117" s="22">
        <v>4.7395607829300006E-3</v>
      </c>
      <c r="AT117" s="22">
        <v>2.31705382547E-3</v>
      </c>
      <c r="AU117" s="22">
        <v>0.76459034447100005</v>
      </c>
      <c r="AV117" s="22">
        <v>1.11377278989E-2</v>
      </c>
      <c r="AW117" s="22">
        <v>8.1071490638099999E-3</v>
      </c>
      <c r="AX117" s="22">
        <v>0</v>
      </c>
      <c r="AY117" s="22">
        <v>5.3804517757399997E-3</v>
      </c>
      <c r="AZ117" s="22">
        <v>3.9164293522499999E-3</v>
      </c>
      <c r="BA117" s="22">
        <v>0</v>
      </c>
      <c r="BB117" s="7">
        <v>400.02884311700001</v>
      </c>
      <c r="BC117" s="1">
        <v>2.23349437309E-2</v>
      </c>
      <c r="BD117" s="9">
        <v>0.99199999999999999</v>
      </c>
      <c r="BE117" s="9">
        <v>2E-3</v>
      </c>
      <c r="BF117" s="10">
        <v>6.0000000000000001E-3</v>
      </c>
      <c r="BG117" s="11">
        <v>-27.112227041400001</v>
      </c>
      <c r="BH117" s="15">
        <v>465.77777777777777</v>
      </c>
      <c r="BI117" s="20">
        <v>1</v>
      </c>
      <c r="BJ117" s="15">
        <v>465.77777777777777</v>
      </c>
      <c r="BK117" s="13">
        <f t="shared" si="39"/>
        <v>6083440547.1892519</v>
      </c>
      <c r="BL117" s="13">
        <f t="shared" si="30"/>
        <v>38045113947.51075</v>
      </c>
      <c r="BM117" s="14">
        <v>13.785723590651253</v>
      </c>
      <c r="BN117" s="14">
        <v>86.214276409348756</v>
      </c>
      <c r="BO117" s="16">
        <v>0.11363744924767137</v>
      </c>
      <c r="BP117" s="16">
        <v>4.1708690163431032E-2</v>
      </c>
      <c r="BQ117" s="16">
        <v>2.3082563636363638</v>
      </c>
      <c r="BR117" s="16">
        <v>0.17922981818181816</v>
      </c>
      <c r="BS117" s="16">
        <v>0.12004545454545457</v>
      </c>
      <c r="BT117" s="16">
        <v>50.730909090909087</v>
      </c>
      <c r="BU117" s="16">
        <v>12.621818181818183</v>
      </c>
      <c r="BV117" s="16">
        <v>12.004545454545452</v>
      </c>
      <c r="BW117" s="16">
        <f>BT117*4</f>
        <v>202.92363636363635</v>
      </c>
      <c r="BX117" s="16">
        <f>BU117*1.29</f>
        <v>16.282145454545457</v>
      </c>
      <c r="BY117" s="16">
        <f>BV117*1.47</f>
        <v>17.646681818181815</v>
      </c>
      <c r="BZ117" s="16">
        <v>6.4999999999999997E-3</v>
      </c>
      <c r="CA117" s="16">
        <f t="shared" si="51"/>
        <v>137.31769999999997</v>
      </c>
      <c r="CB117" s="9">
        <f t="shared" si="52"/>
        <v>7.8220444232147122</v>
      </c>
      <c r="CC117" s="16">
        <f t="shared" si="53"/>
        <v>9.4553933604012444E-2</v>
      </c>
      <c r="CD117" s="16">
        <f t="shared" si="54"/>
        <v>0.30816582278481019</v>
      </c>
      <c r="CE117" s="17">
        <f t="shared" si="55"/>
        <v>8.2247641796035342</v>
      </c>
      <c r="CF117" s="9">
        <f t="shared" si="56"/>
        <v>3.9623255655259482</v>
      </c>
      <c r="CG117" s="18">
        <v>10063454.545454547</v>
      </c>
      <c r="CH117" s="9">
        <f t="shared" si="37"/>
        <v>27.804094911155648</v>
      </c>
      <c r="CI117" s="9">
        <f t="shared" si="38"/>
        <v>3.8880886577113198</v>
      </c>
      <c r="CJ117" s="5">
        <v>38.4638882601446</v>
      </c>
      <c r="CK117" s="5">
        <v>0</v>
      </c>
      <c r="CL117" s="5">
        <v>38.4638882601446</v>
      </c>
    </row>
    <row r="118" spans="1:90" x14ac:dyDescent="0.25">
      <c r="A118" s="2" t="s">
        <v>274</v>
      </c>
      <c r="B118" s="1" t="s">
        <v>116</v>
      </c>
      <c r="C118" s="1" t="s">
        <v>336</v>
      </c>
      <c r="D118" s="1" t="s">
        <v>336</v>
      </c>
      <c r="E118" s="1" t="s">
        <v>337</v>
      </c>
      <c r="F118" s="21">
        <v>0.35228152686899999</v>
      </c>
      <c r="G118" s="22">
        <v>3.1334462971600003E-5</v>
      </c>
      <c r="H118" s="22">
        <v>0</v>
      </c>
      <c r="I118" s="22">
        <v>776704.34290499997</v>
      </c>
      <c r="J118" s="22">
        <v>68.280178070100007</v>
      </c>
      <c r="K118" s="22">
        <f t="shared" si="48"/>
        <v>5.1593527847471243</v>
      </c>
      <c r="L118" s="22">
        <f t="shared" si="49"/>
        <v>4.5891009451425866</v>
      </c>
      <c r="M118" s="22">
        <f t="shared" si="50"/>
        <v>11.375253622033537</v>
      </c>
      <c r="N118" s="21">
        <v>1.7426942860700002E-2</v>
      </c>
      <c r="O118" s="21">
        <v>0.33485458106400001</v>
      </c>
      <c r="P118" s="22">
        <v>1.55007815675E-6</v>
      </c>
      <c r="Q118" s="22">
        <v>2.97843844561E-5</v>
      </c>
      <c r="R118" s="23">
        <v>1.7426942860700002E-2</v>
      </c>
      <c r="S118" s="23">
        <v>0</v>
      </c>
      <c r="T118" s="23">
        <v>0</v>
      </c>
      <c r="U118" s="23">
        <v>0.33485458106400001</v>
      </c>
      <c r="V118" s="23">
        <v>0</v>
      </c>
      <c r="W118" s="23">
        <v>0</v>
      </c>
      <c r="X118" s="22">
        <v>1.55007815675E-6</v>
      </c>
      <c r="Y118" s="22">
        <v>0</v>
      </c>
      <c r="Z118" s="22">
        <v>0</v>
      </c>
      <c r="AA118" s="22">
        <v>2.97843844561E-5</v>
      </c>
      <c r="AB118" s="22">
        <v>0</v>
      </c>
      <c r="AC118" s="22">
        <v>0</v>
      </c>
      <c r="AD118" s="21">
        <v>2.8617822433900001E-4</v>
      </c>
      <c r="AE118" s="21">
        <v>5.9739499394499997E-3</v>
      </c>
      <c r="AF118" s="21">
        <v>1.11668146827E-2</v>
      </c>
      <c r="AG118" s="21">
        <v>1.0520524879000001E-2</v>
      </c>
      <c r="AH118" s="21">
        <v>0.324334061427</v>
      </c>
      <c r="AI118" s="21">
        <v>0</v>
      </c>
      <c r="AJ118" s="21">
        <v>0</v>
      </c>
      <c r="AK118" s="21">
        <v>0</v>
      </c>
      <c r="AL118" s="21">
        <v>0</v>
      </c>
      <c r="AM118" s="21">
        <v>0</v>
      </c>
      <c r="AN118" s="21">
        <v>0</v>
      </c>
      <c r="AO118" s="21">
        <v>0</v>
      </c>
      <c r="AP118" s="22">
        <v>0</v>
      </c>
      <c r="AQ118" s="22">
        <v>0</v>
      </c>
      <c r="AR118" s="22">
        <v>0</v>
      </c>
      <c r="AS118" s="22">
        <v>2.5454758060799999E-8</v>
      </c>
      <c r="AT118" s="22">
        <v>5.3136625290599998E-7</v>
      </c>
      <c r="AU118" s="22">
        <v>9.9325714604700002E-7</v>
      </c>
      <c r="AV118" s="22">
        <v>9.3577146607500005E-7</v>
      </c>
      <c r="AW118" s="22">
        <v>2.8848613369499999E-5</v>
      </c>
      <c r="AX118" s="22">
        <v>0</v>
      </c>
      <c r="AY118" s="22">
        <v>0</v>
      </c>
      <c r="AZ118" s="22">
        <v>0</v>
      </c>
      <c r="BA118" s="22">
        <v>0</v>
      </c>
      <c r="BB118" s="7">
        <v>272.34875816099998</v>
      </c>
      <c r="BC118" s="1">
        <v>8.3974200649299998E-3</v>
      </c>
      <c r="BD118" s="9">
        <v>0.74299999999999999</v>
      </c>
      <c r="BE118" s="9">
        <v>0.24</v>
      </c>
      <c r="BF118" s="10">
        <v>1.7000000000000001E-2</v>
      </c>
      <c r="BG118" s="11">
        <v>-3.5972425937699999</v>
      </c>
      <c r="BH118" s="12">
        <v>445.51272729999999</v>
      </c>
      <c r="BI118" s="20">
        <v>1</v>
      </c>
      <c r="BJ118" s="15">
        <v>445.51272729999999</v>
      </c>
      <c r="BK118" s="13">
        <f t="shared" si="39"/>
        <v>7766.6966378320185</v>
      </c>
      <c r="BL118" s="13">
        <f t="shared" si="30"/>
        <v>768937.64626716799</v>
      </c>
      <c r="BM118" s="14">
        <v>0.99995535093615107</v>
      </c>
      <c r="BN118" s="14">
        <v>99.000044649063852</v>
      </c>
      <c r="BO118" s="16">
        <v>0</v>
      </c>
      <c r="BP118" s="16">
        <v>0</v>
      </c>
      <c r="BQ118" s="16">
        <v>0.56448954545454555</v>
      </c>
      <c r="BR118" s="16">
        <v>3.6894181818181826E-2</v>
      </c>
      <c r="BS118" s="16">
        <v>4.4163636363636356E-2</v>
      </c>
      <c r="BT118" s="16">
        <v>12.406363636363636</v>
      </c>
      <c r="BU118" s="16">
        <v>2.5981818181818181</v>
      </c>
      <c r="BV118" s="16">
        <v>4.416363636363636</v>
      </c>
      <c r="BW118" s="16">
        <f>BT118*5.66</f>
        <v>70.220018181818176</v>
      </c>
      <c r="BX118" s="16">
        <f>BU118*1.36</f>
        <v>3.5335272727272731</v>
      </c>
      <c r="BY118" s="16">
        <f>BV118*1.36</f>
        <v>6.0062545454545457</v>
      </c>
      <c r="BZ118" s="16">
        <v>4.8500000000000001E-3</v>
      </c>
      <c r="CA118" s="16">
        <f t="shared" si="51"/>
        <v>25.056866785714288</v>
      </c>
      <c r="CB118" s="9">
        <f t="shared" si="52"/>
        <v>0</v>
      </c>
      <c r="CC118" s="16">
        <f t="shared" si="53"/>
        <v>0</v>
      </c>
      <c r="CD118" s="16">
        <f t="shared" si="54"/>
        <v>0</v>
      </c>
      <c r="CE118" s="17">
        <f t="shared" si="55"/>
        <v>0</v>
      </c>
      <c r="CF118" s="9">
        <f t="shared" si="56"/>
        <v>0</v>
      </c>
      <c r="CG118" s="18">
        <v>879090.90909090918</v>
      </c>
      <c r="CH118" s="9">
        <f t="shared" si="37"/>
        <v>0.56749481876033081</v>
      </c>
      <c r="CI118" s="9">
        <f t="shared" si="38"/>
        <v>9.2143378892532463E-2</v>
      </c>
      <c r="CJ118" s="5">
        <v>52.987126524339523</v>
      </c>
      <c r="CK118" s="5">
        <v>0</v>
      </c>
      <c r="CL118" s="5">
        <v>52.987126524339523</v>
      </c>
    </row>
    <row r="119" spans="1:90" x14ac:dyDescent="0.25">
      <c r="A119" s="2" t="s">
        <v>275</v>
      </c>
      <c r="B119" s="1" t="s">
        <v>117</v>
      </c>
      <c r="C119" s="1" t="s">
        <v>324</v>
      </c>
      <c r="D119" s="1" t="s">
        <v>343</v>
      </c>
      <c r="E119" s="1" t="s">
        <v>344</v>
      </c>
      <c r="F119" s="21">
        <v>14.309437209</v>
      </c>
      <c r="G119" s="22">
        <v>2.25189373296E-3</v>
      </c>
      <c r="H119" s="22">
        <v>1.5920653066099999E-8</v>
      </c>
      <c r="I119" s="22">
        <v>91619038.700299993</v>
      </c>
      <c r="J119" s="22">
        <v>133122.07168600001</v>
      </c>
      <c r="K119" s="22">
        <f t="shared" si="48"/>
        <v>0.10749109466048729</v>
      </c>
      <c r="L119" s="22">
        <f t="shared" si="49"/>
        <v>0.1691600577154197</v>
      </c>
      <c r="M119" s="22">
        <f t="shared" si="50"/>
        <v>0.68823326995996004</v>
      </c>
      <c r="N119" s="21">
        <v>7.5605357869200001</v>
      </c>
      <c r="O119" s="21">
        <v>6.7489014460699996</v>
      </c>
      <c r="P119" s="22">
        <v>1.19373876787E-3</v>
      </c>
      <c r="Q119" s="22">
        <v>1.05815496801E-3</v>
      </c>
      <c r="R119" s="23">
        <v>3.5465007234999999</v>
      </c>
      <c r="S119" s="23">
        <v>4.0140350680400001</v>
      </c>
      <c r="T119" s="23">
        <v>0</v>
      </c>
      <c r="U119" s="23">
        <v>3.22302824372</v>
      </c>
      <c r="V119" s="23">
        <v>3.5258732028800002</v>
      </c>
      <c r="W119" s="23">
        <v>0</v>
      </c>
      <c r="X119" s="22">
        <v>3.1545138880300001E-4</v>
      </c>
      <c r="Y119" s="22">
        <v>8.7828738003000004E-4</v>
      </c>
      <c r="Z119" s="22">
        <v>0</v>
      </c>
      <c r="AA119" s="22">
        <v>2.8667940906299997E-4</v>
      </c>
      <c r="AB119" s="22">
        <v>7.7147555645399994E-4</v>
      </c>
      <c r="AC119" s="22">
        <v>0</v>
      </c>
      <c r="AD119" s="21">
        <v>0.27447315236800002</v>
      </c>
      <c r="AE119" s="21">
        <v>0.29466159275499998</v>
      </c>
      <c r="AF119" s="21">
        <v>2.9773659760199997</v>
      </c>
      <c r="AG119" s="21">
        <v>1.3651947557699999</v>
      </c>
      <c r="AH119" s="21">
        <v>1.85783348267</v>
      </c>
      <c r="AI119" s="21">
        <v>0</v>
      </c>
      <c r="AJ119" s="21">
        <v>0.30974254916999999</v>
      </c>
      <c r="AK119" s="21">
        <v>0.32840949971599998</v>
      </c>
      <c r="AL119" s="21">
        <v>3.3758830141199998</v>
      </c>
      <c r="AM119" s="21">
        <v>1.4934723650100001</v>
      </c>
      <c r="AN119" s="21">
        <v>2.0324008384600001</v>
      </c>
      <c r="AO119" s="21">
        <v>0</v>
      </c>
      <c r="AP119" s="22">
        <v>6.7772943579299996E-5</v>
      </c>
      <c r="AQ119" s="22">
        <v>7.1857349047399992E-5</v>
      </c>
      <c r="AR119" s="22">
        <v>7.3865708705000001E-4</v>
      </c>
      <c r="AS119" s="22">
        <v>2.4413624517499999E-5</v>
      </c>
      <c r="AT119" s="22">
        <v>2.6209330173399999E-5</v>
      </c>
      <c r="AU119" s="22">
        <v>2.64828433164E-4</v>
      </c>
      <c r="AV119" s="22">
        <v>1.21430281392E-4</v>
      </c>
      <c r="AW119" s="22">
        <v>1.6524912761300002E-4</v>
      </c>
      <c r="AX119" s="22">
        <v>0</v>
      </c>
      <c r="AY119" s="22">
        <v>3.2677789550500001E-4</v>
      </c>
      <c r="AZ119" s="22">
        <v>4.4469766182399998E-4</v>
      </c>
      <c r="BA119" s="22">
        <v>0</v>
      </c>
      <c r="BB119" s="7">
        <v>2658.67114365</v>
      </c>
      <c r="BC119" s="1">
        <v>4.2095626411299998E-2</v>
      </c>
      <c r="BD119" s="9">
        <v>0.88800000000000001</v>
      </c>
      <c r="BE119" s="9">
        <v>4.2999999999999997E-2</v>
      </c>
      <c r="BF119" s="10">
        <v>6.9000000000000006E-2</v>
      </c>
      <c r="BG119" s="11">
        <v>-11.781416779600001</v>
      </c>
      <c r="BH119" s="15">
        <v>822.44444444444446</v>
      </c>
      <c r="BI119" s="20">
        <v>0.95774834437086098</v>
      </c>
      <c r="BJ119" s="15">
        <v>787.69480500367922</v>
      </c>
      <c r="BK119" s="13">
        <f t="shared" si="39"/>
        <v>9196866.1497585084</v>
      </c>
      <c r="BL119" s="13">
        <f t="shared" si="30"/>
        <v>82422172.55054149</v>
      </c>
      <c r="BM119" s="14">
        <v>10.038160496141938</v>
      </c>
      <c r="BN119" s="14">
        <v>89.961839503858059</v>
      </c>
      <c r="BO119" s="16">
        <v>11.615703721881133</v>
      </c>
      <c r="BP119" s="16">
        <v>4.8723956585347548</v>
      </c>
      <c r="BQ119" s="16">
        <v>3.5121863636363639</v>
      </c>
      <c r="BR119" s="16">
        <v>0.41079309090909083</v>
      </c>
      <c r="BS119" s="16">
        <v>0.34549999999999997</v>
      </c>
      <c r="BT119" s="5">
        <v>77.190909090909088</v>
      </c>
      <c r="BU119" s="5">
        <v>28.929090909090906</v>
      </c>
      <c r="BV119" s="5">
        <v>34.549999999999997</v>
      </c>
      <c r="BW119" s="16">
        <f>BT119*6.87</f>
        <v>530.30154545454548</v>
      </c>
      <c r="BX119" s="16">
        <f>BU119*1.57</f>
        <v>45.418672727272721</v>
      </c>
      <c r="BY119" s="16">
        <f>BV119*0.61</f>
        <v>21.075499999999998</v>
      </c>
      <c r="BZ119" s="16">
        <v>7.1999999999999998E-3</v>
      </c>
      <c r="CA119" s="16">
        <f t="shared" si="51"/>
        <v>231.44039999999998</v>
      </c>
      <c r="CB119" s="9">
        <f t="shared" si="52"/>
        <v>799.54760618948455</v>
      </c>
      <c r="CC119" s="16">
        <f t="shared" si="53"/>
        <v>9.6650398768532284</v>
      </c>
      <c r="CD119" s="16">
        <f t="shared" si="54"/>
        <v>31.499852543121321</v>
      </c>
      <c r="CE119" s="17">
        <f t="shared" si="55"/>
        <v>840.71249860945909</v>
      </c>
      <c r="CF119" s="9">
        <f t="shared" si="56"/>
        <v>462.87758756080171</v>
      </c>
      <c r="CG119" s="18">
        <v>12817000</v>
      </c>
      <c r="CH119" s="9">
        <f t="shared" si="37"/>
        <v>266.03707092769957</v>
      </c>
      <c r="CI119" s="9">
        <f t="shared" si="38"/>
        <v>27.323616461180595</v>
      </c>
      <c r="CJ119" s="5">
        <v>70.663138557869331</v>
      </c>
      <c r="CK119" s="5">
        <v>0</v>
      </c>
      <c r="CL119" s="5">
        <v>70.663138557869331</v>
      </c>
    </row>
    <row r="120" spans="1:90" x14ac:dyDescent="0.25">
      <c r="A120" s="2" t="s">
        <v>276</v>
      </c>
      <c r="B120" s="1" t="s">
        <v>118</v>
      </c>
      <c r="C120" s="1" t="s">
        <v>332</v>
      </c>
      <c r="D120" s="1" t="s">
        <v>333</v>
      </c>
      <c r="E120" s="1" t="s">
        <v>339</v>
      </c>
      <c r="F120" s="21">
        <v>39.651016436100001</v>
      </c>
      <c r="G120" s="22">
        <v>7.0668692395099994E-3</v>
      </c>
      <c r="H120" s="22">
        <v>1.0726811960300001E-6</v>
      </c>
      <c r="I120" s="22">
        <v>48705693.460900001</v>
      </c>
      <c r="J120" s="22">
        <v>32253.9859469</v>
      </c>
      <c r="K120" s="22">
        <f t="shared" si="48"/>
        <v>1.229336941529577</v>
      </c>
      <c r="L120" s="22">
        <f t="shared" si="49"/>
        <v>2.1910064855687117</v>
      </c>
      <c r="M120" s="22">
        <f t="shared" si="50"/>
        <v>1.5100674236382623</v>
      </c>
      <c r="N120" s="21">
        <v>38.9616674297</v>
      </c>
      <c r="O120" s="21">
        <v>0.68934836663499999</v>
      </c>
      <c r="P120" s="22">
        <v>6.9468693280199997E-3</v>
      </c>
      <c r="Q120" s="22">
        <v>1.19999817668E-4</v>
      </c>
      <c r="R120" s="23">
        <v>5.5684996552300001</v>
      </c>
      <c r="S120" s="23">
        <v>33.393168175100001</v>
      </c>
      <c r="T120" s="23">
        <v>0</v>
      </c>
      <c r="U120" s="23">
        <v>0.126446507358</v>
      </c>
      <c r="V120" s="23">
        <v>0.562901870799</v>
      </c>
      <c r="W120" s="23">
        <v>0</v>
      </c>
      <c r="X120" s="22">
        <v>4.9530257363600001E-4</v>
      </c>
      <c r="Y120" s="22">
        <v>6.4515668093E-3</v>
      </c>
      <c r="Z120" s="22">
        <v>0</v>
      </c>
      <c r="AA120" s="22">
        <v>1.1247065152E-5</v>
      </c>
      <c r="AB120" s="22">
        <v>1.08752753148E-4</v>
      </c>
      <c r="AC120" s="22">
        <v>0</v>
      </c>
      <c r="AD120" s="21">
        <v>8.5411100936899992E-2</v>
      </c>
      <c r="AE120" s="21">
        <v>0.51966748556499998</v>
      </c>
      <c r="AF120" s="21">
        <v>4.96342101819</v>
      </c>
      <c r="AG120" s="21">
        <v>1.29891263111E-2</v>
      </c>
      <c r="AH120" s="21">
        <v>0.113457378086</v>
      </c>
      <c r="AI120" s="21">
        <v>0</v>
      </c>
      <c r="AJ120" s="21">
        <v>0.52305013922099997</v>
      </c>
      <c r="AK120" s="21">
        <v>2.9107591318399999</v>
      </c>
      <c r="AL120" s="21">
        <v>29.959358876499998</v>
      </c>
      <c r="AM120" s="21">
        <v>5.7823689997699997E-2</v>
      </c>
      <c r="AN120" s="21">
        <v>0.50507817369099994</v>
      </c>
      <c r="AO120" s="21">
        <v>0</v>
      </c>
      <c r="AP120" s="22">
        <v>1.0105339196899999E-4</v>
      </c>
      <c r="AQ120" s="22">
        <v>5.6235925414100003E-4</v>
      </c>
      <c r="AR120" s="22">
        <v>5.7881541691199995E-3</v>
      </c>
      <c r="AS120" s="22">
        <v>7.5970801513700003E-6</v>
      </c>
      <c r="AT120" s="22">
        <v>4.6222978646499999E-5</v>
      </c>
      <c r="AU120" s="22">
        <v>4.41482513344E-4</v>
      </c>
      <c r="AV120" s="22">
        <v>1.15534671513E-6</v>
      </c>
      <c r="AW120" s="22">
        <v>1.00917184619E-5</v>
      </c>
      <c r="AX120" s="22">
        <v>0</v>
      </c>
      <c r="AY120" s="22">
        <v>1.1171548532500001E-5</v>
      </c>
      <c r="AZ120" s="22">
        <v>9.7581204671900006E-5</v>
      </c>
      <c r="BA120" s="22">
        <v>0</v>
      </c>
      <c r="BB120" s="7">
        <v>43.871346533299999</v>
      </c>
      <c r="BC120" s="1">
        <v>8.6524042415600001E-4</v>
      </c>
      <c r="BD120" s="9">
        <v>0.92500000000000004</v>
      </c>
      <c r="BE120" s="9">
        <v>0.06</v>
      </c>
      <c r="BF120" s="10">
        <v>1.4999999999999999E-2</v>
      </c>
      <c r="BG120" s="11">
        <v>-27.776438457299999</v>
      </c>
      <c r="BH120" s="12">
        <v>695.52072729999998</v>
      </c>
      <c r="BI120" s="20">
        <v>1</v>
      </c>
      <c r="BJ120" s="15">
        <v>695.52072729999998</v>
      </c>
      <c r="BK120" s="13">
        <f t="shared" si="39"/>
        <v>35836908.415051825</v>
      </c>
      <c r="BL120" s="13">
        <f t="shared" si="30"/>
        <v>12868785.045848176</v>
      </c>
      <c r="BM120" s="14">
        <v>73.578478959181652</v>
      </c>
      <c r="BN120" s="14">
        <v>26.421521040818341</v>
      </c>
      <c r="BO120" s="16" t="s">
        <v>394</v>
      </c>
      <c r="BP120" s="16" t="s">
        <v>394</v>
      </c>
      <c r="BQ120" s="16" t="s">
        <v>394</v>
      </c>
      <c r="BR120" s="16" t="s">
        <v>394</v>
      </c>
      <c r="BS120" s="16" t="s">
        <v>394</v>
      </c>
      <c r="BT120" s="16" t="s">
        <v>394</v>
      </c>
      <c r="BU120" s="16" t="s">
        <v>394</v>
      </c>
      <c r="BV120" s="16" t="s">
        <v>394</v>
      </c>
      <c r="BW120" s="16" t="s">
        <v>394</v>
      </c>
      <c r="BX120" s="16" t="s">
        <v>394</v>
      </c>
      <c r="BY120" s="16" t="s">
        <v>394</v>
      </c>
      <c r="BZ120" s="16" t="s">
        <v>394</v>
      </c>
      <c r="CA120" s="16" t="s">
        <v>394</v>
      </c>
      <c r="CB120" s="16" t="s">
        <v>394</v>
      </c>
      <c r="CC120" s="16" t="s">
        <v>394</v>
      </c>
      <c r="CD120" s="16" t="s">
        <v>394</v>
      </c>
      <c r="CE120" s="16" t="s">
        <v>394</v>
      </c>
      <c r="CF120" s="16" t="s">
        <v>394</v>
      </c>
      <c r="CG120" s="18">
        <v>89709.090909090912</v>
      </c>
      <c r="CH120" s="9" t="s">
        <v>447</v>
      </c>
      <c r="CI120" s="9" t="s">
        <v>447</v>
      </c>
      <c r="CJ120" s="5">
        <v>72.72603284465248</v>
      </c>
      <c r="CK120" s="5">
        <v>14.254528488488653</v>
      </c>
      <c r="CL120" s="5">
        <v>76.613808262752528</v>
      </c>
    </row>
    <row r="121" spans="1:90" x14ac:dyDescent="0.25">
      <c r="A121" s="2" t="s">
        <v>277</v>
      </c>
      <c r="B121" s="1" t="s">
        <v>119</v>
      </c>
      <c r="C121" s="1" t="s">
        <v>321</v>
      </c>
      <c r="D121" s="1" t="s">
        <v>347</v>
      </c>
      <c r="E121" s="1" t="s">
        <v>348</v>
      </c>
      <c r="F121" s="21">
        <v>1294.55060422</v>
      </c>
      <c r="G121" s="22">
        <v>0.119154165018</v>
      </c>
      <c r="H121" s="22">
        <v>1.28675079197E-5</v>
      </c>
      <c r="I121" s="22">
        <v>3765120505.73</v>
      </c>
      <c r="J121" s="22">
        <v>1391103.55697</v>
      </c>
      <c r="K121" s="22">
        <f t="shared" si="48"/>
        <v>0.93059254843664929</v>
      </c>
      <c r="L121" s="22">
        <f t="shared" si="49"/>
        <v>0.85654417617573253</v>
      </c>
      <c r="M121" s="22">
        <f t="shared" si="50"/>
        <v>2.7065709715608159</v>
      </c>
      <c r="N121" s="21">
        <v>1294.55060422</v>
      </c>
      <c r="O121" s="21">
        <v>0</v>
      </c>
      <c r="P121" s="22">
        <v>0.119154165018</v>
      </c>
      <c r="Q121" s="22">
        <v>0</v>
      </c>
      <c r="R121" s="23">
        <v>1220.4965432500001</v>
      </c>
      <c r="S121" s="23">
        <v>74.054064481799998</v>
      </c>
      <c r="T121" s="23">
        <v>0</v>
      </c>
      <c r="U121" s="23">
        <v>0</v>
      </c>
      <c r="V121" s="23">
        <v>0</v>
      </c>
      <c r="W121" s="23">
        <v>0</v>
      </c>
      <c r="X121" s="22">
        <v>0.108559777126</v>
      </c>
      <c r="Y121" s="22">
        <v>1.05943878496E-2</v>
      </c>
      <c r="Z121" s="22">
        <v>0</v>
      </c>
      <c r="AA121" s="22">
        <v>0</v>
      </c>
      <c r="AB121" s="22">
        <v>0</v>
      </c>
      <c r="AC121" s="22">
        <v>0</v>
      </c>
      <c r="AD121" s="21">
        <v>0</v>
      </c>
      <c r="AE121" s="21">
        <v>0</v>
      </c>
      <c r="AF121" s="21">
        <v>1220.4965405599999</v>
      </c>
      <c r="AG121" s="21">
        <v>0</v>
      </c>
      <c r="AH121" s="21">
        <v>0</v>
      </c>
      <c r="AI121" s="21">
        <v>0</v>
      </c>
      <c r="AJ121" s="21">
        <v>0</v>
      </c>
      <c r="AK121" s="21">
        <v>0</v>
      </c>
      <c r="AL121" s="21">
        <v>74.054064556700013</v>
      </c>
      <c r="AM121" s="21">
        <v>0</v>
      </c>
      <c r="AN121" s="21">
        <v>0</v>
      </c>
      <c r="AO121" s="21">
        <v>0</v>
      </c>
      <c r="AP121" s="22">
        <v>0</v>
      </c>
      <c r="AQ121" s="22">
        <v>0</v>
      </c>
      <c r="AR121" s="22">
        <v>1.0594387853100001E-2</v>
      </c>
      <c r="AS121" s="22">
        <v>0</v>
      </c>
      <c r="AT121" s="22">
        <v>0</v>
      </c>
      <c r="AU121" s="22">
        <v>0.108559777181</v>
      </c>
      <c r="AV121" s="22">
        <v>0</v>
      </c>
      <c r="AW121" s="22">
        <v>0</v>
      </c>
      <c r="AX121" s="22">
        <v>0</v>
      </c>
      <c r="AY121" s="22">
        <v>0</v>
      </c>
      <c r="AZ121" s="22">
        <v>0</v>
      </c>
      <c r="BA121" s="22">
        <v>0</v>
      </c>
      <c r="BB121" s="7">
        <v>123.367189743</v>
      </c>
      <c r="BC121" s="1">
        <v>6.8880014075000003E-3</v>
      </c>
      <c r="BD121" s="9">
        <v>1</v>
      </c>
      <c r="BE121" s="9">
        <v>0</v>
      </c>
      <c r="BF121" s="10">
        <v>0</v>
      </c>
      <c r="BG121" s="11">
        <v>-39.353823223500001</v>
      </c>
      <c r="BH121" s="15">
        <v>513.66666666666663</v>
      </c>
      <c r="BI121" s="20">
        <v>1.0026470588235294</v>
      </c>
      <c r="BJ121" s="15">
        <v>515.02637254901958</v>
      </c>
      <c r="BK121" s="13">
        <f t="shared" si="39"/>
        <v>531543439.29425174</v>
      </c>
      <c r="BL121" s="13">
        <f t="shared" si="30"/>
        <v>3233577066.4357486</v>
      </c>
      <c r="BM121" s="14">
        <v>14.117567777321206</v>
      </c>
      <c r="BN121" s="14">
        <v>85.882432222678801</v>
      </c>
      <c r="BO121" s="16">
        <v>2.3350751162790697</v>
      </c>
      <c r="BP121" s="16">
        <v>0.85704954817275736</v>
      </c>
      <c r="BQ121" s="16">
        <v>1.4172422727272731</v>
      </c>
      <c r="BR121" s="16">
        <v>6.9205636363636358E-2</v>
      </c>
      <c r="BS121" s="16">
        <v>1.5636363636363636E-3</v>
      </c>
      <c r="BT121" s="16">
        <v>31.148181818181818</v>
      </c>
      <c r="BU121" s="16">
        <v>4.873636363636364</v>
      </c>
      <c r="BV121" s="16">
        <v>0.15636363636363637</v>
      </c>
      <c r="BW121" s="16">
        <f>BT121*4</f>
        <v>124.59272727272727</v>
      </c>
      <c r="BX121" s="16">
        <f>BU121*1.29</f>
        <v>6.2869909090909095</v>
      </c>
      <c r="BY121" s="16">
        <f>BV121*1.47</f>
        <v>0.22985454545454545</v>
      </c>
      <c r="BZ121" s="16">
        <v>6.4999999999999997E-3</v>
      </c>
      <c r="CA121" s="16">
        <f t="shared" ref="CA121:CA130" si="58">(BT121*BZ121)*(44/28)*265</f>
        <v>84.311453571428572</v>
      </c>
      <c r="CB121" s="9">
        <f t="shared" ref="CB121:CB130" si="59">(74.1+69.3+63.1)/3*BO121</f>
        <v>160.7310038372093</v>
      </c>
      <c r="CC121" s="16">
        <f t="shared" ref="CC121:CC130" si="60">(0.00415+0.08+0.005)/3*BO121*28</f>
        <v>1.9429381684186047</v>
      </c>
      <c r="CD121" s="16">
        <f t="shared" ref="CD121:CD130" si="61">(0.0286+0.002+0.0001)/3*BO121*265</f>
        <v>6.332334536162791</v>
      </c>
      <c r="CE121" s="17">
        <f t="shared" ref="CE121:CE130" si="62">CB121+CC121+CD121</f>
        <v>169.0062765417907</v>
      </c>
      <c r="CF121" s="9">
        <f t="shared" ref="CF121:CF130" si="63">BP121*95</f>
        <v>81.419707076411953</v>
      </c>
      <c r="CG121" s="18">
        <v>2545454.5454545454</v>
      </c>
      <c r="CH121" s="9">
        <f t="shared" si="37"/>
        <v>11.913073988852586</v>
      </c>
      <c r="CI121" s="9">
        <f t="shared" si="38"/>
        <v>1.1857923888793918</v>
      </c>
      <c r="CJ121" s="5">
        <v>6.1292623946510201</v>
      </c>
      <c r="CK121" s="5">
        <v>1.0501674329248549</v>
      </c>
      <c r="CL121" s="5">
        <v>7.1150623100287413</v>
      </c>
    </row>
    <row r="122" spans="1:90" x14ac:dyDescent="0.25">
      <c r="A122" s="2" t="s">
        <v>278</v>
      </c>
      <c r="B122" s="1" t="s">
        <v>120</v>
      </c>
      <c r="C122" s="1" t="s">
        <v>324</v>
      </c>
      <c r="D122" s="1" t="s">
        <v>325</v>
      </c>
      <c r="E122" s="1" t="s">
        <v>326</v>
      </c>
      <c r="F122" s="21">
        <v>3964.9948703099999</v>
      </c>
      <c r="G122" s="22">
        <v>0.41047851637099997</v>
      </c>
      <c r="H122" s="22">
        <v>3.6416707575299999E-4</v>
      </c>
      <c r="I122" s="22">
        <v>4547919531.0299997</v>
      </c>
      <c r="J122" s="22">
        <v>772066.63589999999</v>
      </c>
      <c r="K122" s="22">
        <f t="shared" si="48"/>
        <v>5.1355604373293442</v>
      </c>
      <c r="L122" s="22">
        <f t="shared" si="49"/>
        <v>5.3166203185623244</v>
      </c>
      <c r="M122" s="22">
        <f t="shared" si="50"/>
        <v>5.890579024605147</v>
      </c>
      <c r="N122" s="21">
        <v>3779.5305932299998</v>
      </c>
      <c r="O122" s="21">
        <v>185.46427006100001</v>
      </c>
      <c r="P122" s="22">
        <v>0.39157489727199996</v>
      </c>
      <c r="Q122" s="22">
        <v>1.8903620452800002E-2</v>
      </c>
      <c r="R122" s="23">
        <v>1655.4041559699999</v>
      </c>
      <c r="S122" s="23">
        <v>2124.1264434300001</v>
      </c>
      <c r="T122" s="23">
        <v>0</v>
      </c>
      <c r="U122" s="23">
        <v>93.166137319200004</v>
      </c>
      <c r="V122" s="23">
        <v>92.298132359700006</v>
      </c>
      <c r="W122" s="23">
        <v>0</v>
      </c>
      <c r="X122" s="22">
        <v>0.14724360132600001</v>
      </c>
      <c r="Y122" s="22">
        <v>0.244331295073</v>
      </c>
      <c r="Z122" s="22">
        <v>0</v>
      </c>
      <c r="AA122" s="22">
        <v>8.2868691459400002E-3</v>
      </c>
      <c r="AB122" s="22">
        <v>1.06167513179E-2</v>
      </c>
      <c r="AC122" s="22">
        <v>0</v>
      </c>
      <c r="AD122" s="21">
        <v>60.082490656000004</v>
      </c>
      <c r="AE122" s="21">
        <v>139.467429082</v>
      </c>
      <c r="AF122" s="21">
        <v>1455.8542327999999</v>
      </c>
      <c r="AG122" s="21">
        <v>20.418285543000003</v>
      </c>
      <c r="AH122" s="21">
        <v>72.747852058999996</v>
      </c>
      <c r="AI122" s="21">
        <v>0</v>
      </c>
      <c r="AJ122" s="21">
        <v>76.886913724900012</v>
      </c>
      <c r="AK122" s="21">
        <v>173.83894686000002</v>
      </c>
      <c r="AL122" s="21">
        <v>1873.4005834000002</v>
      </c>
      <c r="AM122" s="21">
        <v>20.228053624800001</v>
      </c>
      <c r="AN122" s="21">
        <v>72.070078784399996</v>
      </c>
      <c r="AO122" s="21">
        <v>0</v>
      </c>
      <c r="AP122" s="22">
        <v>8.8440494035899996E-3</v>
      </c>
      <c r="AQ122" s="22">
        <v>1.99961236285E-2</v>
      </c>
      <c r="AR122" s="22">
        <v>0.21549112241599999</v>
      </c>
      <c r="AS122" s="22">
        <v>5.3441706457599998E-3</v>
      </c>
      <c r="AT122" s="22">
        <v>1.24052404327E-2</v>
      </c>
      <c r="AU122" s="22">
        <v>0.12949418983700001</v>
      </c>
      <c r="AV122" s="22">
        <v>1.81614978196E-3</v>
      </c>
      <c r="AW122" s="22">
        <v>6.4707193649300001E-3</v>
      </c>
      <c r="AX122" s="22">
        <v>0</v>
      </c>
      <c r="AY122" s="22">
        <v>2.3267666317700001E-3</v>
      </c>
      <c r="AZ122" s="22">
        <v>8.2899847003399998E-3</v>
      </c>
      <c r="BA122" s="22">
        <v>0</v>
      </c>
      <c r="BB122" s="7">
        <v>1093.01968345</v>
      </c>
      <c r="BC122" s="1">
        <v>1.7306144877199999E-2</v>
      </c>
      <c r="BD122" s="9">
        <v>0.9</v>
      </c>
      <c r="BE122" s="9">
        <v>6.2E-2</v>
      </c>
      <c r="BF122" s="10">
        <v>3.7999999999999999E-2</v>
      </c>
      <c r="BG122" s="11">
        <v>-32.466935039500001</v>
      </c>
      <c r="BH122" s="15">
        <v>416.55555555555554</v>
      </c>
      <c r="BI122" s="20">
        <v>0.99409594095940956</v>
      </c>
      <c r="BJ122" s="15">
        <v>414.09618696186959</v>
      </c>
      <c r="BK122" s="13">
        <f t="shared" si="39"/>
        <v>2405129901.483788</v>
      </c>
      <c r="BL122" s="13">
        <f t="shared" si="30"/>
        <v>2142789629.546212</v>
      </c>
      <c r="BM122" s="14">
        <v>52.884178910242973</v>
      </c>
      <c r="BN122" s="14">
        <v>47.115821089757034</v>
      </c>
      <c r="BO122" s="16">
        <v>7.8612870689649021</v>
      </c>
      <c r="BP122" s="16">
        <v>3.2975445915658108</v>
      </c>
      <c r="BQ122" s="16">
        <v>2.1236504545454546</v>
      </c>
      <c r="BR122" s="16">
        <v>0.34054181818181817</v>
      </c>
      <c r="BS122" s="16">
        <v>0.17314545454545455</v>
      </c>
      <c r="BT122" s="5">
        <v>46.673636363636362</v>
      </c>
      <c r="BU122" s="5">
        <v>23.981818181818184</v>
      </c>
      <c r="BV122" s="5">
        <v>17.314545454545456</v>
      </c>
      <c r="BW122" s="16">
        <f>BT122*5.66</f>
        <v>264.17278181818182</v>
      </c>
      <c r="BX122" s="16">
        <f>BU122*1.36</f>
        <v>32.615272727272732</v>
      </c>
      <c r="BY122" s="16">
        <f>BV122*1.36</f>
        <v>23.547781818181821</v>
      </c>
      <c r="BZ122" s="16">
        <v>7.1999999999999998E-3</v>
      </c>
      <c r="CA122" s="16">
        <f t="shared" si="58"/>
        <v>139.94089714285712</v>
      </c>
      <c r="CB122" s="9">
        <f t="shared" si="59"/>
        <v>541.11859324708405</v>
      </c>
      <c r="CC122" s="16">
        <f t="shared" si="60"/>
        <v>6.541114927183397</v>
      </c>
      <c r="CD122" s="16">
        <f t="shared" si="61"/>
        <v>21.318500316521323</v>
      </c>
      <c r="CE122" s="17">
        <f t="shared" si="62"/>
        <v>568.97820849078869</v>
      </c>
      <c r="CF122" s="9">
        <f t="shared" si="63"/>
        <v>313.26673619875203</v>
      </c>
      <c r="CG122" s="18">
        <v>2140688.1818181816</v>
      </c>
      <c r="CH122" s="9">
        <f t="shared" si="37"/>
        <v>29.533296762832599</v>
      </c>
      <c r="CI122" s="9">
        <f t="shared" si="38"/>
        <v>2.8739202903489627</v>
      </c>
      <c r="CJ122" s="5">
        <v>58.079487634383064</v>
      </c>
      <c r="CK122" s="5">
        <v>15.980389496267714</v>
      </c>
      <c r="CL122" s="5">
        <v>64.778548789239721</v>
      </c>
    </row>
    <row r="123" spans="1:90" x14ac:dyDescent="0.25">
      <c r="A123" s="2" t="s">
        <v>279</v>
      </c>
      <c r="B123" s="1" t="s">
        <v>121</v>
      </c>
      <c r="C123" s="1" t="s">
        <v>334</v>
      </c>
      <c r="D123" s="1" t="s">
        <v>334</v>
      </c>
      <c r="E123" s="1" t="s">
        <v>339</v>
      </c>
      <c r="F123" s="21">
        <v>316.81852198600001</v>
      </c>
      <c r="G123" s="22">
        <v>1.80374715472E-2</v>
      </c>
      <c r="H123" s="22">
        <v>1.22063679695E-5</v>
      </c>
      <c r="I123" s="22">
        <v>1061546783.91</v>
      </c>
      <c r="J123" s="22">
        <v>66689.235034199999</v>
      </c>
      <c r="K123" s="22">
        <f t="shared" si="48"/>
        <v>4.7506696069242222</v>
      </c>
      <c r="L123" s="22">
        <f t="shared" si="49"/>
        <v>2.7047051203916057</v>
      </c>
      <c r="M123" s="22">
        <f t="shared" si="50"/>
        <v>15.917813172779846</v>
      </c>
      <c r="N123" s="21">
        <v>137.10667639600001</v>
      </c>
      <c r="O123" s="21">
        <v>179.71184728899999</v>
      </c>
      <c r="P123" s="22">
        <v>7.7793622565100005E-3</v>
      </c>
      <c r="Q123" s="22">
        <v>1.02581093746E-2</v>
      </c>
      <c r="R123" s="23">
        <v>83.420001749799994</v>
      </c>
      <c r="S123" s="23">
        <v>53.686674395700003</v>
      </c>
      <c r="T123" s="23">
        <v>0</v>
      </c>
      <c r="U123" s="23">
        <v>110.08821216</v>
      </c>
      <c r="V123" s="23">
        <v>69.623635096599997</v>
      </c>
      <c r="W123" s="23">
        <v>0</v>
      </c>
      <c r="X123" s="22">
        <v>7.4199774527900003E-3</v>
      </c>
      <c r="Y123" s="22">
        <v>3.5938483473399999E-4</v>
      </c>
      <c r="Z123" s="22">
        <v>0</v>
      </c>
      <c r="AA123" s="22">
        <v>9.7920406785299997E-3</v>
      </c>
      <c r="AB123" s="22">
        <v>4.6606870077399996E-4</v>
      </c>
      <c r="AC123" s="22">
        <v>0</v>
      </c>
      <c r="AD123" s="21">
        <v>8.4919909138099996</v>
      </c>
      <c r="AE123" s="21">
        <v>13.619505739299999</v>
      </c>
      <c r="AF123" s="21">
        <v>61.3085050603</v>
      </c>
      <c r="AG123" s="21">
        <v>34.578710407300001</v>
      </c>
      <c r="AH123" s="21">
        <v>75.509501618399995</v>
      </c>
      <c r="AI123" s="21">
        <v>0</v>
      </c>
      <c r="AJ123" s="21">
        <v>5.4701631380600002</v>
      </c>
      <c r="AK123" s="21">
        <v>8.7091407540900008</v>
      </c>
      <c r="AL123" s="21">
        <v>39.507370526500004</v>
      </c>
      <c r="AM123" s="21">
        <v>21.868785794499999</v>
      </c>
      <c r="AN123" s="21">
        <v>47.754849484700003</v>
      </c>
      <c r="AO123" s="21">
        <v>0</v>
      </c>
      <c r="AP123" s="22">
        <v>3.6617907424E-5</v>
      </c>
      <c r="AQ123" s="22">
        <v>5.8299999901299995E-5</v>
      </c>
      <c r="AR123" s="22">
        <v>2.6446692782899998E-4</v>
      </c>
      <c r="AS123" s="22">
        <v>7.5533900195E-4</v>
      </c>
      <c r="AT123" s="22">
        <v>1.2114172011700002E-3</v>
      </c>
      <c r="AU123" s="22">
        <v>5.4532212379499994E-3</v>
      </c>
      <c r="AV123" s="22">
        <v>3.0756802484400003E-3</v>
      </c>
      <c r="AW123" s="22">
        <v>6.7163604412600001E-3</v>
      </c>
      <c r="AX123" s="22">
        <v>0</v>
      </c>
      <c r="AY123" s="22">
        <v>1.46392192341E-4</v>
      </c>
      <c r="AZ123" s="22">
        <v>3.1967650825199997E-4</v>
      </c>
      <c r="BA123" s="22">
        <v>0</v>
      </c>
      <c r="BB123" s="7">
        <v>1394.55319035</v>
      </c>
      <c r="BC123" s="1">
        <v>2.75036879643E-2</v>
      </c>
      <c r="BD123" s="9">
        <v>0.8</v>
      </c>
      <c r="BE123" s="9">
        <v>0.1</v>
      </c>
      <c r="BF123" s="10">
        <v>0.1</v>
      </c>
      <c r="BG123" s="11">
        <v>-18.453130418299999</v>
      </c>
      <c r="BH123" s="12">
        <v>24.098818179999999</v>
      </c>
      <c r="BI123" s="20">
        <v>1</v>
      </c>
      <c r="BJ123" s="15">
        <v>24.098818179999999</v>
      </c>
      <c r="BK123" s="13">
        <f t="shared" si="39"/>
        <v>107775500.47545075</v>
      </c>
      <c r="BL123" s="13">
        <f t="shared" si="30"/>
        <v>953771283.43454909</v>
      </c>
      <c r="BM123" s="14">
        <v>10.152684941353293</v>
      </c>
      <c r="BN123" s="14">
        <v>89.8473150586467</v>
      </c>
      <c r="BO123" s="16">
        <v>0.52479029358897544</v>
      </c>
      <c r="BP123" s="16">
        <v>0.2201318154583583</v>
      </c>
      <c r="BQ123" s="16">
        <v>0.60440545454545458</v>
      </c>
      <c r="BR123" s="16">
        <v>0.37432490909090904</v>
      </c>
      <c r="BS123" s="16">
        <v>0.21812727272727273</v>
      </c>
      <c r="BT123" s="16">
        <v>13.283636363636363</v>
      </c>
      <c r="BU123" s="16">
        <v>26.36090909090909</v>
      </c>
      <c r="BV123" s="16">
        <v>21.812727272727273</v>
      </c>
      <c r="BW123" s="16">
        <f>BT123*3.53</f>
        <v>46.891236363636359</v>
      </c>
      <c r="BX123" s="16">
        <f>BU123*0.54</f>
        <v>14.234890909090909</v>
      </c>
      <c r="BY123" s="16">
        <f>BV123*1.02</f>
        <v>22.248981818181818</v>
      </c>
      <c r="BZ123" s="16">
        <v>2.4420000000000001E-2</v>
      </c>
      <c r="CA123" s="16">
        <f t="shared" si="58"/>
        <v>135.08376514285715</v>
      </c>
      <c r="CB123" s="9">
        <f t="shared" si="59"/>
        <v>36.123065208707807</v>
      </c>
      <c r="CC123" s="16">
        <f t="shared" si="60"/>
        <v>0.43666051028560021</v>
      </c>
      <c r="CD123" s="16">
        <f t="shared" si="61"/>
        <v>1.4231438111643699</v>
      </c>
      <c r="CE123" s="17">
        <f t="shared" si="62"/>
        <v>37.982869530157778</v>
      </c>
      <c r="CF123" s="9">
        <f t="shared" si="63"/>
        <v>20.91252246854404</v>
      </c>
      <c r="CG123" s="18">
        <v>3568454.5454545454</v>
      </c>
      <c r="CH123" s="9">
        <f t="shared" si="37"/>
        <v>6.9291527587833457</v>
      </c>
      <c r="CI123" s="9">
        <f t="shared" si="38"/>
        <v>0.98972609203846074</v>
      </c>
      <c r="CJ123" s="5">
        <v>0</v>
      </c>
      <c r="CK123" s="5">
        <v>0</v>
      </c>
      <c r="CL123" s="5">
        <v>0</v>
      </c>
    </row>
    <row r="124" spans="1:90" x14ac:dyDescent="0.25">
      <c r="A124" s="2" t="s">
        <v>280</v>
      </c>
      <c r="B124" s="1" t="s">
        <v>122</v>
      </c>
      <c r="C124" s="1" t="s">
        <v>321</v>
      </c>
      <c r="D124" s="1" t="s">
        <v>335</v>
      </c>
      <c r="E124" s="1" t="s">
        <v>329</v>
      </c>
      <c r="F124" s="21">
        <v>115.371268749</v>
      </c>
      <c r="G124" s="22">
        <v>1.52737958927E-2</v>
      </c>
      <c r="H124" s="22">
        <v>1.61676879883E-3</v>
      </c>
      <c r="I124" s="22">
        <v>104880928.641</v>
      </c>
      <c r="J124" s="22">
        <v>12863.6259357</v>
      </c>
      <c r="K124" s="22">
        <f t="shared" si="48"/>
        <v>8.9687984807466989</v>
      </c>
      <c r="L124" s="22">
        <f t="shared" si="49"/>
        <v>11.873631874129</v>
      </c>
      <c r="M124" s="22">
        <f t="shared" si="50"/>
        <v>8.1532943483631151</v>
      </c>
      <c r="N124" s="21">
        <v>115.371268749</v>
      </c>
      <c r="O124" s="21">
        <v>0</v>
      </c>
      <c r="P124" s="22">
        <v>1.52737958927E-2</v>
      </c>
      <c r="Q124" s="22">
        <v>0</v>
      </c>
      <c r="R124" s="23">
        <v>53.841556116900001</v>
      </c>
      <c r="S124" s="23">
        <v>61.529712852099998</v>
      </c>
      <c r="T124" s="23">
        <v>0</v>
      </c>
      <c r="U124" s="23">
        <v>0</v>
      </c>
      <c r="V124" s="23">
        <v>0</v>
      </c>
      <c r="W124" s="23">
        <v>0</v>
      </c>
      <c r="X124" s="22">
        <v>4.7890568072799997E-3</v>
      </c>
      <c r="Y124" s="22">
        <v>1.04847390528E-2</v>
      </c>
      <c r="Z124" s="22">
        <v>0</v>
      </c>
      <c r="AA124" s="22">
        <v>0</v>
      </c>
      <c r="AB124" s="22">
        <v>0</v>
      </c>
      <c r="AC124" s="22">
        <v>0</v>
      </c>
      <c r="AD124" s="21">
        <v>5.8590268505900003</v>
      </c>
      <c r="AE124" s="21">
        <v>11.6852517642</v>
      </c>
      <c r="AF124" s="21">
        <v>36.297277142600002</v>
      </c>
      <c r="AG124" s="21">
        <v>0</v>
      </c>
      <c r="AH124" s="21">
        <v>0</v>
      </c>
      <c r="AI124" s="21">
        <v>0</v>
      </c>
      <c r="AJ124" s="21">
        <v>6.6922430209999995</v>
      </c>
      <c r="AK124" s="21">
        <v>13.4263998198</v>
      </c>
      <c r="AL124" s="21">
        <v>41.411069937500002</v>
      </c>
      <c r="AM124" s="21">
        <v>0</v>
      </c>
      <c r="AN124" s="21">
        <v>0</v>
      </c>
      <c r="AO124" s="21">
        <v>0</v>
      </c>
      <c r="AP124" s="22">
        <v>1.14036647575E-3</v>
      </c>
      <c r="AQ124" s="22">
        <v>2.2878751024999998E-3</v>
      </c>
      <c r="AR124" s="22">
        <v>7.0564974462499997E-3</v>
      </c>
      <c r="AS124" s="22">
        <v>5.2114416596900001E-4</v>
      </c>
      <c r="AT124" s="22">
        <v>1.0393706858099999E-3</v>
      </c>
      <c r="AU124" s="22">
        <v>3.2285419791200001E-3</v>
      </c>
      <c r="AV124" s="22">
        <v>0</v>
      </c>
      <c r="AW124" s="22">
        <v>0</v>
      </c>
      <c r="AX124" s="22">
        <v>0</v>
      </c>
      <c r="AY124" s="22">
        <v>0</v>
      </c>
      <c r="AZ124" s="22">
        <v>0</v>
      </c>
      <c r="BA124" s="22">
        <v>0</v>
      </c>
      <c r="BB124" s="7">
        <v>205.59666514400001</v>
      </c>
      <c r="BC124" s="1">
        <v>7.2529933929400001E-3</v>
      </c>
      <c r="BD124" s="9">
        <v>0.75</v>
      </c>
      <c r="BE124" s="9">
        <v>0.14000000000000001</v>
      </c>
      <c r="BF124" s="10">
        <v>0.109</v>
      </c>
      <c r="BG124" s="11">
        <v>-18.541656621600001</v>
      </c>
      <c r="BH124" s="15">
        <v>613.44444444444446</v>
      </c>
      <c r="BI124" s="20">
        <v>1</v>
      </c>
      <c r="BJ124" s="15">
        <v>613.44444444444446</v>
      </c>
      <c r="BK124" s="13">
        <f t="shared" si="39"/>
        <v>104880928.641</v>
      </c>
      <c r="BL124" s="13">
        <f t="shared" si="30"/>
        <v>0</v>
      </c>
      <c r="BM124" s="14">
        <v>100</v>
      </c>
      <c r="BN124" s="14">
        <v>0</v>
      </c>
      <c r="BO124" s="16">
        <v>0.50969680851063837</v>
      </c>
      <c r="BP124" s="16">
        <v>0.18707553191489362</v>
      </c>
      <c r="BQ124" s="16">
        <v>2.6746554545454546</v>
      </c>
      <c r="BR124" s="16">
        <v>1.8104999999999996E-2</v>
      </c>
      <c r="BS124" s="16">
        <v>0.64117142857142861</v>
      </c>
      <c r="BT124" s="5">
        <v>58.783636363636376</v>
      </c>
      <c r="BU124" s="5">
        <v>1.2749999999999999</v>
      </c>
      <c r="BV124" s="5">
        <v>64.117142857142852</v>
      </c>
      <c r="BW124" s="16">
        <f>BT124*4</f>
        <v>235.1345454545455</v>
      </c>
      <c r="BX124" s="16">
        <f>BU124*1.29</f>
        <v>1.6447499999999999</v>
      </c>
      <c r="BY124" s="16">
        <f>BV124*1.47</f>
        <v>94.252199999999988</v>
      </c>
      <c r="BZ124" s="16">
        <v>8.5599999999999999E-3</v>
      </c>
      <c r="CA124" s="16">
        <f t="shared" si="58"/>
        <v>209.54182971428571</v>
      </c>
      <c r="CB124" s="9">
        <f t="shared" si="59"/>
        <v>35.08413031914894</v>
      </c>
      <c r="CC124" s="16">
        <f t="shared" si="60"/>
        <v>0.42410172446808519</v>
      </c>
      <c r="CD124" s="16">
        <f t="shared" si="61"/>
        <v>1.3822127952127663</v>
      </c>
      <c r="CE124" s="17">
        <f t="shared" si="62"/>
        <v>36.890444838829794</v>
      </c>
      <c r="CF124" s="9">
        <f t="shared" si="63"/>
        <v>17.772175531914893</v>
      </c>
      <c r="CG124" s="18">
        <v>16136.363636363636</v>
      </c>
      <c r="CH124" s="9">
        <f t="shared" si="37"/>
        <v>6.5040909061707147E-2</v>
      </c>
      <c r="CI124" s="9">
        <f t="shared" si="38"/>
        <v>9.6049436666613367E-3</v>
      </c>
      <c r="CJ124" s="5">
        <v>54.418618170243327</v>
      </c>
      <c r="CK124" s="5">
        <v>23.601777440462733</v>
      </c>
      <c r="CL124" s="5">
        <v>65.176634463990027</v>
      </c>
    </row>
    <row r="125" spans="1:90" x14ac:dyDescent="0.25">
      <c r="A125" s="2" t="s">
        <v>281</v>
      </c>
      <c r="B125" s="1" t="s">
        <v>123</v>
      </c>
      <c r="C125" s="1" t="s">
        <v>324</v>
      </c>
      <c r="D125" s="1" t="s">
        <v>343</v>
      </c>
      <c r="E125" s="1" t="s">
        <v>344</v>
      </c>
      <c r="F125" s="21">
        <v>603.90869135900004</v>
      </c>
      <c r="G125" s="22">
        <v>6.3691944706399994E-2</v>
      </c>
      <c r="H125" s="22">
        <v>7.1423289291099995E-6</v>
      </c>
      <c r="I125" s="22">
        <v>699888327.102</v>
      </c>
      <c r="J125" s="22">
        <v>2146020.9234600002</v>
      </c>
      <c r="K125" s="22">
        <f t="shared" si="48"/>
        <v>0.2814085756374296</v>
      </c>
      <c r="L125" s="22">
        <f t="shared" si="49"/>
        <v>0.29679088405023724</v>
      </c>
      <c r="M125" s="22">
        <f t="shared" si="50"/>
        <v>0.32613303973457058</v>
      </c>
      <c r="N125" s="21">
        <v>117.274249766</v>
      </c>
      <c r="O125" s="21">
        <v>486.63444070100002</v>
      </c>
      <c r="P125" s="22">
        <v>1.23951465033E-2</v>
      </c>
      <c r="Q125" s="22">
        <v>5.1296798163999999E-2</v>
      </c>
      <c r="R125" s="23">
        <v>95.779454203399993</v>
      </c>
      <c r="S125" s="23">
        <v>21.4947957985</v>
      </c>
      <c r="T125" s="23">
        <v>0</v>
      </c>
      <c r="U125" s="23">
        <v>398.94452853000001</v>
      </c>
      <c r="V125" s="23">
        <v>87.689913295899999</v>
      </c>
      <c r="W125" s="23">
        <v>0</v>
      </c>
      <c r="X125" s="22">
        <v>8.5193163898300006E-3</v>
      </c>
      <c r="Y125" s="22">
        <v>3.8758301176300002E-3</v>
      </c>
      <c r="Z125" s="22">
        <v>0</v>
      </c>
      <c r="AA125" s="22">
        <v>3.5485007665600005E-2</v>
      </c>
      <c r="AB125" s="22">
        <v>1.58117904724E-2</v>
      </c>
      <c r="AC125" s="22">
        <v>0</v>
      </c>
      <c r="AD125" s="21">
        <v>0.37098778730999998</v>
      </c>
      <c r="AE125" s="21">
        <v>64.687226326100003</v>
      </c>
      <c r="AF125" s="21">
        <v>30.721239940299998</v>
      </c>
      <c r="AG125" s="21">
        <v>1.7692787116499999</v>
      </c>
      <c r="AH125" s="21">
        <v>397.17524979000001</v>
      </c>
      <c r="AI125" s="21">
        <v>0</v>
      </c>
      <c r="AJ125" s="21">
        <v>8.3939926948899998E-2</v>
      </c>
      <c r="AK125" s="21">
        <v>14.435102661599998</v>
      </c>
      <c r="AL125" s="21">
        <v>6.9757532304899996</v>
      </c>
      <c r="AM125" s="21">
        <v>0.388895913712</v>
      </c>
      <c r="AN125" s="21">
        <v>87.301017524900004</v>
      </c>
      <c r="AO125" s="21">
        <v>0</v>
      </c>
      <c r="AP125" s="22">
        <v>1.5135612378799999E-5</v>
      </c>
      <c r="AQ125" s="22">
        <v>2.6028628556599999E-3</v>
      </c>
      <c r="AR125" s="22">
        <v>1.2578316531099999E-3</v>
      </c>
      <c r="AS125" s="22">
        <v>3.2998333146399998E-5</v>
      </c>
      <c r="AT125" s="22">
        <v>5.7537490955000001E-3</v>
      </c>
      <c r="AU125" s="22">
        <v>2.7325689518800001E-3</v>
      </c>
      <c r="AV125" s="22">
        <v>1.5737242660299999E-4</v>
      </c>
      <c r="AW125" s="22">
        <v>3.53276351967E-2</v>
      </c>
      <c r="AX125" s="22">
        <v>0</v>
      </c>
      <c r="AY125" s="22">
        <v>7.0123694776800009E-5</v>
      </c>
      <c r="AZ125" s="22">
        <v>1.5741666782000001E-2</v>
      </c>
      <c r="BA125" s="22">
        <v>0</v>
      </c>
      <c r="BB125" s="7">
        <v>3219.0406135799999</v>
      </c>
      <c r="BC125" s="1">
        <v>5.0968143061399997E-2</v>
      </c>
      <c r="BD125" s="9">
        <v>0.48199999999999998</v>
      </c>
      <c r="BE125" s="9">
        <v>0.51400000000000001</v>
      </c>
      <c r="BF125" s="10">
        <v>5.0000000000000001E-3</v>
      </c>
      <c r="BG125" s="11">
        <v>-16.7527192895</v>
      </c>
      <c r="BH125" s="15">
        <v>647.11111111111109</v>
      </c>
      <c r="BI125" s="20">
        <v>1.003125</v>
      </c>
      <c r="BJ125" s="15">
        <v>649.13333333333333</v>
      </c>
      <c r="BK125" s="13">
        <f t="shared" si="39"/>
        <v>70436743.974165857</v>
      </c>
      <c r="BL125" s="13">
        <f t="shared" si="30"/>
        <v>629451583.1278342</v>
      </c>
      <c r="BM125" s="14">
        <v>10.063997533123677</v>
      </c>
      <c r="BN125" s="14">
        <v>89.936002466876332</v>
      </c>
      <c r="BO125" s="16">
        <v>3.7515870576467387</v>
      </c>
      <c r="BP125" s="16">
        <v>1.5736641472577844</v>
      </c>
      <c r="BQ125" s="16">
        <v>1.2898836363636363</v>
      </c>
      <c r="BR125" s="16">
        <v>0.14489163636363636</v>
      </c>
      <c r="BS125" s="16">
        <v>2.1481818181818182E-2</v>
      </c>
      <c r="BT125" s="5">
        <v>28.349090909090908</v>
      </c>
      <c r="BU125" s="5">
        <v>10.203636363636365</v>
      </c>
      <c r="BV125" s="5">
        <v>2.148181818181818</v>
      </c>
      <c r="BW125" s="16">
        <f>BT125*6.87</f>
        <v>194.75825454545455</v>
      </c>
      <c r="BX125" s="16">
        <f>BU125*1.57</f>
        <v>16.019709090909092</v>
      </c>
      <c r="BY125" s="16">
        <f>BV125*0.61</f>
        <v>1.3103909090909089</v>
      </c>
      <c r="BZ125" s="16">
        <v>7.1999999999999998E-3</v>
      </c>
      <c r="CA125" s="16">
        <f t="shared" si="58"/>
        <v>84.998674285714273</v>
      </c>
      <c r="CB125" s="9">
        <f t="shared" si="59"/>
        <v>258.23424246801716</v>
      </c>
      <c r="CC125" s="16">
        <f t="shared" si="60"/>
        <v>3.1215705377659297</v>
      </c>
      <c r="CD125" s="16">
        <f t="shared" si="61"/>
        <v>10.173678835828348</v>
      </c>
      <c r="CE125" s="17">
        <f t="shared" si="62"/>
        <v>271.52949184161145</v>
      </c>
      <c r="CF125" s="9">
        <f t="shared" si="63"/>
        <v>149.49809398948952</v>
      </c>
      <c r="CG125" s="18">
        <v>9536000</v>
      </c>
      <c r="CH125" s="9">
        <f t="shared" si="37"/>
        <v>64.668463108878626</v>
      </c>
      <c r="CI125" s="9">
        <f t="shared" si="38"/>
        <v>6.8479409654194052</v>
      </c>
      <c r="CJ125" s="5">
        <v>53.131122932252254</v>
      </c>
      <c r="CK125" s="5">
        <v>14.232424735704525</v>
      </c>
      <c r="CL125" s="5">
        <v>59.80170058538932</v>
      </c>
    </row>
    <row r="126" spans="1:90" x14ac:dyDescent="0.25">
      <c r="A126" s="2" t="s">
        <v>282</v>
      </c>
      <c r="B126" s="1" t="s">
        <v>124</v>
      </c>
      <c r="C126" s="1" t="s">
        <v>324</v>
      </c>
      <c r="D126" s="1" t="s">
        <v>343</v>
      </c>
      <c r="E126" s="1" t="s">
        <v>344</v>
      </c>
      <c r="F126" s="21">
        <v>12543.8217159</v>
      </c>
      <c r="G126" s="22">
        <v>1.52449146892</v>
      </c>
      <c r="H126" s="22">
        <v>8.4856616449099996E-4</v>
      </c>
      <c r="I126" s="22">
        <v>12807735283.4</v>
      </c>
      <c r="J126" s="22">
        <v>2378937.2521799998</v>
      </c>
      <c r="K126" s="22">
        <f t="shared" si="48"/>
        <v>5.2728678339057282</v>
      </c>
      <c r="L126" s="22">
        <f t="shared" si="49"/>
        <v>6.4082878500599092</v>
      </c>
      <c r="M126" s="22">
        <f t="shared" si="50"/>
        <v>5.3838054247388429</v>
      </c>
      <c r="N126" s="21">
        <v>4289.1387340499996</v>
      </c>
      <c r="O126" s="21">
        <v>8254.6829933099998</v>
      </c>
      <c r="P126" s="22">
        <v>0.52206148235399996</v>
      </c>
      <c r="Q126" s="22">
        <v>1.0024299865899999</v>
      </c>
      <c r="R126" s="23">
        <v>2955.63453076</v>
      </c>
      <c r="S126" s="23">
        <v>1333.50420459</v>
      </c>
      <c r="T126" s="23">
        <v>0</v>
      </c>
      <c r="U126" s="23">
        <v>5710.1590011400003</v>
      </c>
      <c r="V126" s="23">
        <v>2544.5239973399998</v>
      </c>
      <c r="W126" s="23">
        <v>0</v>
      </c>
      <c r="X126" s="22">
        <v>0.26289548185200001</v>
      </c>
      <c r="Y126" s="22">
        <v>0.25916600050100003</v>
      </c>
      <c r="Z126" s="22">
        <v>0</v>
      </c>
      <c r="AA126" s="22">
        <v>0.50790278133199995</v>
      </c>
      <c r="AB126" s="22">
        <v>0.49452720535700001</v>
      </c>
      <c r="AC126" s="22">
        <v>0</v>
      </c>
      <c r="AD126" s="21">
        <v>22.031198867299999</v>
      </c>
      <c r="AE126" s="21">
        <v>2100.3974920400001</v>
      </c>
      <c r="AF126" s="21">
        <v>833.20584260800001</v>
      </c>
      <c r="AG126" s="21">
        <v>46.646414604699999</v>
      </c>
      <c r="AH126" s="21">
        <v>5663.5125808100001</v>
      </c>
      <c r="AI126" s="21">
        <v>0</v>
      </c>
      <c r="AJ126" s="21">
        <v>10.0555499495</v>
      </c>
      <c r="AK126" s="21">
        <v>945.01908769200008</v>
      </c>
      <c r="AL126" s="21">
        <v>378.42956682700003</v>
      </c>
      <c r="AM126" s="21">
        <v>20.786272600900002</v>
      </c>
      <c r="AN126" s="21">
        <v>2523.7377264800002</v>
      </c>
      <c r="AO126" s="21">
        <v>0</v>
      </c>
      <c r="AP126" s="22">
        <v>1.9542920480999999E-3</v>
      </c>
      <c r="AQ126" s="22">
        <v>0.18366407583200001</v>
      </c>
      <c r="AR126" s="22">
        <v>7.3547632614899994E-2</v>
      </c>
      <c r="AS126" s="22">
        <v>1.9596139416900001E-3</v>
      </c>
      <c r="AT126" s="22">
        <v>0.18682452252100001</v>
      </c>
      <c r="AU126" s="22">
        <v>7.411134520660001E-2</v>
      </c>
      <c r="AV126" s="22">
        <v>4.1490690062399999E-3</v>
      </c>
      <c r="AW126" s="22">
        <v>0.50375371196200003</v>
      </c>
      <c r="AX126" s="22">
        <v>0</v>
      </c>
      <c r="AY126" s="22">
        <v>4.0398036376600001E-3</v>
      </c>
      <c r="AZ126" s="22">
        <v>0.49048740183599998</v>
      </c>
      <c r="BA126" s="22">
        <v>0</v>
      </c>
      <c r="BB126" s="7">
        <v>38936.935490000003</v>
      </c>
      <c r="BC126" s="1">
        <v>2.15234726532</v>
      </c>
      <c r="BD126" s="9">
        <v>0.434</v>
      </c>
      <c r="BE126" s="9">
        <v>0.55600000000000005</v>
      </c>
      <c r="BF126" s="10">
        <v>0.01</v>
      </c>
      <c r="BG126" s="11">
        <v>-9.0070480981400003</v>
      </c>
      <c r="BH126" s="15">
        <v>698.55555555555554</v>
      </c>
      <c r="BI126" s="20">
        <v>1.0015789473684211</v>
      </c>
      <c r="BJ126" s="15">
        <v>699.6585380116959</v>
      </c>
      <c r="BK126" s="13">
        <f t="shared" si="39"/>
        <v>2578990554.9878297</v>
      </c>
      <c r="BL126" s="13">
        <f t="shared" si="30"/>
        <v>10228744728.412169</v>
      </c>
      <c r="BM126" s="14">
        <v>20.136195025286305</v>
      </c>
      <c r="BN126" s="14">
        <v>79.863804974713688</v>
      </c>
      <c r="BO126" s="16">
        <v>0.72124902892015919</v>
      </c>
      <c r="BP126" s="16">
        <v>0.30253962406195689</v>
      </c>
      <c r="BQ126" s="16">
        <v>0.3698322727272727</v>
      </c>
      <c r="BR126" s="16">
        <v>4.084436363636363E-2</v>
      </c>
      <c r="BS126" s="16">
        <v>1.8972727272727277E-2</v>
      </c>
      <c r="BT126" s="5">
        <v>8.1281818181818171</v>
      </c>
      <c r="BU126" s="5">
        <v>2.876363636363636</v>
      </c>
      <c r="BV126" s="5">
        <v>1.8972727272727274</v>
      </c>
      <c r="BW126" s="16">
        <f>BT126*6.87</f>
        <v>55.840609090909084</v>
      </c>
      <c r="BX126" s="16">
        <f>BU126*1.57</f>
        <v>4.515890909090909</v>
      </c>
      <c r="BY126" s="16">
        <f>BV126*0.61</f>
        <v>1.1573363636363636</v>
      </c>
      <c r="BZ126" s="16">
        <v>2.66E-3</v>
      </c>
      <c r="CA126" s="16">
        <f t="shared" si="58"/>
        <v>9.0035869999999996</v>
      </c>
      <c r="CB126" s="9">
        <f t="shared" si="59"/>
        <v>49.645974824004284</v>
      </c>
      <c r="CC126" s="16">
        <f t="shared" si="60"/>
        <v>0.60012727533016719</v>
      </c>
      <c r="CD126" s="16">
        <f t="shared" si="61"/>
        <v>1.955907158259985</v>
      </c>
      <c r="CE126" s="17">
        <f t="shared" si="62"/>
        <v>52.202009257594433</v>
      </c>
      <c r="CF126" s="9">
        <f t="shared" si="63"/>
        <v>28.741264285885904</v>
      </c>
      <c r="CG126" s="18">
        <v>124202818.18181817</v>
      </c>
      <c r="CH126" s="9">
        <f t="shared" si="37"/>
        <v>180.52109771660744</v>
      </c>
      <c r="CI126" s="9">
        <f t="shared" si="38"/>
        <v>18.811845399646085</v>
      </c>
      <c r="CJ126" s="5">
        <v>0</v>
      </c>
      <c r="CK126" s="5">
        <v>1.2642153869332109</v>
      </c>
      <c r="CL126" s="5">
        <v>1.2642153869332096</v>
      </c>
    </row>
    <row r="127" spans="1:90" x14ac:dyDescent="0.25">
      <c r="A127" s="2" t="s">
        <v>283</v>
      </c>
      <c r="B127" s="1" t="s">
        <v>125</v>
      </c>
      <c r="C127" s="1" t="s">
        <v>327</v>
      </c>
      <c r="D127" s="1" t="s">
        <v>345</v>
      </c>
      <c r="E127" s="1" t="s">
        <v>331</v>
      </c>
      <c r="F127" s="21">
        <v>2.6282746266700001</v>
      </c>
      <c r="G127" s="22">
        <v>2.1734075907900002E-4</v>
      </c>
      <c r="H127" s="22">
        <v>1.37758785859E-8</v>
      </c>
      <c r="I127" s="22">
        <v>112590843.941</v>
      </c>
      <c r="J127" s="22">
        <v>8309.9446290100004</v>
      </c>
      <c r="K127" s="22">
        <f t="shared" si="48"/>
        <v>0.31628064253216542</v>
      </c>
      <c r="L127" s="22">
        <f t="shared" si="49"/>
        <v>0.26154296903527352</v>
      </c>
      <c r="M127" s="22">
        <f t="shared" si="50"/>
        <v>13.548928298263936</v>
      </c>
      <c r="N127" s="21">
        <v>2.6282746266700001</v>
      </c>
      <c r="O127" s="21">
        <v>0</v>
      </c>
      <c r="P127" s="22">
        <v>2.1734075907900002E-4</v>
      </c>
      <c r="Q127" s="22">
        <v>0</v>
      </c>
      <c r="R127" s="23">
        <v>1.82404223421</v>
      </c>
      <c r="S127" s="23">
        <v>0.80423239120500001</v>
      </c>
      <c r="T127" s="23">
        <v>0</v>
      </c>
      <c r="U127" s="23">
        <v>0</v>
      </c>
      <c r="V127" s="23">
        <v>0</v>
      </c>
      <c r="W127" s="23">
        <v>0</v>
      </c>
      <c r="X127" s="22">
        <v>1.6224348936000002E-4</v>
      </c>
      <c r="Y127" s="22">
        <v>5.5097270985000001E-5</v>
      </c>
      <c r="Z127" s="22">
        <v>0</v>
      </c>
      <c r="AA127" s="22">
        <v>0</v>
      </c>
      <c r="AB127" s="22">
        <v>0</v>
      </c>
      <c r="AC127" s="22">
        <v>0</v>
      </c>
      <c r="AD127" s="21">
        <v>0</v>
      </c>
      <c r="AE127" s="21">
        <v>0</v>
      </c>
      <c r="AF127" s="21">
        <v>1.8240422376600001</v>
      </c>
      <c r="AG127" s="21">
        <v>0</v>
      </c>
      <c r="AH127" s="21">
        <v>0</v>
      </c>
      <c r="AI127" s="21">
        <v>0</v>
      </c>
      <c r="AJ127" s="21">
        <v>0</v>
      </c>
      <c r="AK127" s="21">
        <v>0</v>
      </c>
      <c r="AL127" s="21">
        <v>0.80423238930100005</v>
      </c>
      <c r="AM127" s="21">
        <v>0</v>
      </c>
      <c r="AN127" s="21">
        <v>0</v>
      </c>
      <c r="AO127" s="21">
        <v>0</v>
      </c>
      <c r="AP127" s="22">
        <v>0</v>
      </c>
      <c r="AQ127" s="22">
        <v>0</v>
      </c>
      <c r="AR127" s="22">
        <v>5.5097271063100003E-5</v>
      </c>
      <c r="AS127" s="22">
        <v>0</v>
      </c>
      <c r="AT127" s="22">
        <v>0</v>
      </c>
      <c r="AU127" s="22">
        <v>1.6224348989100001E-4</v>
      </c>
      <c r="AV127" s="22">
        <v>0</v>
      </c>
      <c r="AW127" s="22">
        <v>0</v>
      </c>
      <c r="AX127" s="22">
        <v>0</v>
      </c>
      <c r="AY127" s="22">
        <v>0</v>
      </c>
      <c r="AZ127" s="22">
        <v>0</v>
      </c>
      <c r="BA127" s="22">
        <v>0</v>
      </c>
      <c r="BB127" s="7">
        <v>56.274143139800003</v>
      </c>
      <c r="BC127" s="1">
        <v>1.9070681795299999E-3</v>
      </c>
      <c r="BD127" s="9">
        <v>1</v>
      </c>
      <c r="BE127" s="9">
        <v>0</v>
      </c>
      <c r="BF127" s="10">
        <v>0</v>
      </c>
      <c r="BG127" s="11">
        <v>-45.977790936399998</v>
      </c>
      <c r="BH127" s="12">
        <v>246.63290910000001</v>
      </c>
      <c r="BI127" s="20">
        <v>1</v>
      </c>
      <c r="BJ127" s="15">
        <v>246.63290910000001</v>
      </c>
      <c r="BK127" s="13">
        <f t="shared" si="39"/>
        <v>1124876.3288260798</v>
      </c>
      <c r="BL127" s="13">
        <f t="shared" si="30"/>
        <v>111465967.61217391</v>
      </c>
      <c r="BM127" s="14">
        <v>0.99908330859971084</v>
      </c>
      <c r="BN127" s="14">
        <v>99.000916691400292</v>
      </c>
      <c r="BO127" s="16">
        <v>4.0009446061453156E-3</v>
      </c>
      <c r="BP127" s="16">
        <v>1.4684785697280608E-3</v>
      </c>
      <c r="BQ127" s="16">
        <v>3.197409090909091E-2</v>
      </c>
      <c r="BR127" s="16">
        <v>1.4696999999999998E-2</v>
      </c>
      <c r="BS127" s="16">
        <v>8.43E-3</v>
      </c>
      <c r="BT127" s="5">
        <v>0.70272727272727264</v>
      </c>
      <c r="BU127" s="5">
        <v>1.0349999999999999</v>
      </c>
      <c r="BV127" s="5">
        <v>0.84299999999999997</v>
      </c>
      <c r="BW127" s="16">
        <f>BT127*5.66</f>
        <v>3.9774363636363632</v>
      </c>
      <c r="BX127" s="16">
        <f>BU127*1.36</f>
        <v>1.4076</v>
      </c>
      <c r="BY127" s="16">
        <f>BV127*1.36</f>
        <v>1.1464799999999999</v>
      </c>
      <c r="BZ127" s="16">
        <v>2.96E-3</v>
      </c>
      <c r="CA127" s="16">
        <f t="shared" si="58"/>
        <v>0.86620171428571413</v>
      </c>
      <c r="CB127" s="9">
        <f t="shared" si="59"/>
        <v>0.27539835372300253</v>
      </c>
      <c r="CC127" s="16">
        <f t="shared" si="60"/>
        <v>3.3290526419533124E-3</v>
      </c>
      <c r="CD127" s="16">
        <f t="shared" si="61"/>
        <v>1.0849894947765072E-2</v>
      </c>
      <c r="CE127" s="17">
        <f t="shared" si="62"/>
        <v>0.28957730131272091</v>
      </c>
      <c r="CF127" s="9">
        <f t="shared" si="63"/>
        <v>0.13950546412416578</v>
      </c>
      <c r="CG127" s="18">
        <v>1330985.4545454548</v>
      </c>
      <c r="CH127" s="9">
        <f t="shared" si="37"/>
        <v>8.0618473221428066E-2</v>
      </c>
      <c r="CI127" s="9">
        <f t="shared" si="38"/>
        <v>1.041735807813488E-2</v>
      </c>
      <c r="CJ127" s="5">
        <v>12.233001617832727</v>
      </c>
      <c r="CK127" s="5">
        <v>0</v>
      </c>
      <c r="CL127" s="5">
        <v>12.233001617832729</v>
      </c>
    </row>
    <row r="128" spans="1:90" x14ac:dyDescent="0.25">
      <c r="A128" s="2" t="s">
        <v>284</v>
      </c>
      <c r="B128" s="1" t="s">
        <v>126</v>
      </c>
      <c r="C128" s="1" t="s">
        <v>321</v>
      </c>
      <c r="D128" s="1" t="s">
        <v>335</v>
      </c>
      <c r="E128" s="1" t="s">
        <v>329</v>
      </c>
      <c r="F128" s="21">
        <v>53284.748022799999</v>
      </c>
      <c r="G128" s="22">
        <v>6.2504838680699999</v>
      </c>
      <c r="H128" s="22">
        <v>0.33108466732800002</v>
      </c>
      <c r="I128" s="22">
        <v>19820798184.299999</v>
      </c>
      <c r="J128" s="22">
        <v>1341701.1879499999</v>
      </c>
      <c r="K128" s="22">
        <f t="shared" si="48"/>
        <v>39.714318285887749</v>
      </c>
      <c r="L128" s="22">
        <f t="shared" si="49"/>
        <v>46.586258730382305</v>
      </c>
      <c r="M128" s="22">
        <f t="shared" si="50"/>
        <v>14.772885618879428</v>
      </c>
      <c r="N128" s="21">
        <v>53283.4951669</v>
      </c>
      <c r="O128" s="21">
        <v>1.25286670758</v>
      </c>
      <c r="P128" s="22">
        <v>6.2503385047800002</v>
      </c>
      <c r="Q128" s="22">
        <v>1.4536384697899998E-4</v>
      </c>
      <c r="R128" s="23">
        <v>40594.951774300003</v>
      </c>
      <c r="S128" s="23">
        <v>12688.5433085</v>
      </c>
      <c r="T128" s="23">
        <v>0</v>
      </c>
      <c r="U128" s="23">
        <v>0.96796956815199997</v>
      </c>
      <c r="V128" s="23">
        <v>0.28489716337799997</v>
      </c>
      <c r="W128" s="23">
        <v>0</v>
      </c>
      <c r="X128" s="22">
        <v>3.6108082163499997</v>
      </c>
      <c r="Y128" s="22">
        <v>2.6395303118300002</v>
      </c>
      <c r="Z128" s="22">
        <v>0</v>
      </c>
      <c r="AA128" s="22">
        <v>8.6098201668300008E-5</v>
      </c>
      <c r="AB128" s="22">
        <v>5.9265643978800003E-5</v>
      </c>
      <c r="AC128" s="22">
        <v>0</v>
      </c>
      <c r="AD128" s="21">
        <v>4004.1182886799998</v>
      </c>
      <c r="AE128" s="21">
        <v>21495.288560599998</v>
      </c>
      <c r="AF128" s="21">
        <v>15095.5449816</v>
      </c>
      <c r="AG128" s="21">
        <v>0.10862106865600001</v>
      </c>
      <c r="AH128" s="21">
        <v>0.85934848774299999</v>
      </c>
      <c r="AI128" s="21">
        <v>0</v>
      </c>
      <c r="AJ128" s="21">
        <v>1260.7422241099998</v>
      </c>
      <c r="AK128" s="21">
        <v>6712.30841762</v>
      </c>
      <c r="AL128" s="21">
        <v>4715.4926737299993</v>
      </c>
      <c r="AM128" s="21">
        <v>3.1969842476699997E-2</v>
      </c>
      <c r="AN128" s="21">
        <v>0.25292732142399998</v>
      </c>
      <c r="AO128" s="21">
        <v>0</v>
      </c>
      <c r="AP128" s="22">
        <v>0.26226551228599998</v>
      </c>
      <c r="AQ128" s="22">
        <v>1.3963258869799999</v>
      </c>
      <c r="AR128" s="22">
        <v>0.98093890897400005</v>
      </c>
      <c r="AS128" s="22">
        <v>0.35615519870200002</v>
      </c>
      <c r="AT128" s="22">
        <v>1.91194620748</v>
      </c>
      <c r="AU128" s="22">
        <v>1.3427067969299999</v>
      </c>
      <c r="AV128" s="22">
        <v>9.6615424571899996E-6</v>
      </c>
      <c r="AW128" s="22">
        <v>7.6436661253900009E-5</v>
      </c>
      <c r="AX128" s="22">
        <v>0</v>
      </c>
      <c r="AY128" s="22">
        <v>6.6505166173599997E-6</v>
      </c>
      <c r="AZ128" s="22">
        <v>5.2615127394899998E-5</v>
      </c>
      <c r="BA128" s="22">
        <v>0</v>
      </c>
      <c r="BB128" s="7">
        <v>2641.1156663000002</v>
      </c>
      <c r="BC128" s="1">
        <v>9.3172692146300001E-2</v>
      </c>
      <c r="BD128" s="9">
        <v>0.436</v>
      </c>
      <c r="BE128" s="9">
        <v>0.442</v>
      </c>
      <c r="BF128" s="10">
        <v>0.122</v>
      </c>
      <c r="BG128" s="11">
        <v>-32.5364767206</v>
      </c>
      <c r="BH128" s="15">
        <v>748.88888888888891</v>
      </c>
      <c r="BI128" s="20">
        <v>1</v>
      </c>
      <c r="BJ128" s="15">
        <v>748.88888888888891</v>
      </c>
      <c r="BK128" s="13">
        <f t="shared" si="39"/>
        <v>19820125882.822651</v>
      </c>
      <c r="BL128" s="13">
        <f t="shared" si="30"/>
        <v>672301.47734709817</v>
      </c>
      <c r="BM128" s="14">
        <v>99.99660810088929</v>
      </c>
      <c r="BN128" s="14">
        <v>3.3918991107009318E-3</v>
      </c>
      <c r="BO128" s="16">
        <v>0.30194575753551983</v>
      </c>
      <c r="BP128" s="16">
        <v>0.1108240472712787</v>
      </c>
      <c r="BQ128" s="16">
        <v>2.5224786363636369</v>
      </c>
      <c r="BR128" s="16">
        <v>0.45742072727272726</v>
      </c>
      <c r="BS128" s="16">
        <v>4.5554545454545452E-2</v>
      </c>
      <c r="BT128" s="5">
        <v>55.439090909090915</v>
      </c>
      <c r="BU128" s="5">
        <v>32.212727272727278</v>
      </c>
      <c r="BV128" s="5">
        <v>4.5554545454545456</v>
      </c>
      <c r="BW128" s="16">
        <f>BT128*4</f>
        <v>221.75636363636366</v>
      </c>
      <c r="BX128" s="16">
        <f>BU128*1.29</f>
        <v>41.554418181818193</v>
      </c>
      <c r="BY128" s="16">
        <f>BV128*1.47</f>
        <v>6.696518181818182</v>
      </c>
      <c r="BZ128" s="16">
        <v>8.5599999999999999E-3</v>
      </c>
      <c r="CA128" s="16">
        <f t="shared" si="58"/>
        <v>197.61976742857144</v>
      </c>
      <c r="CB128" s="9">
        <f t="shared" si="59"/>
        <v>20.783932977028279</v>
      </c>
      <c r="CC128" s="16">
        <f t="shared" si="60"/>
        <v>0.25123899998672156</v>
      </c>
      <c r="CD128" s="16">
        <f t="shared" si="61"/>
        <v>0.81882657014340721</v>
      </c>
      <c r="CE128" s="17">
        <f t="shared" si="62"/>
        <v>21.853998547158408</v>
      </c>
      <c r="CF128" s="9">
        <f t="shared" si="63"/>
        <v>10.528284490771476</v>
      </c>
      <c r="CG128" s="18">
        <v>3668636.3636363633</v>
      </c>
      <c r="CH128" s="9">
        <f t="shared" si="37"/>
        <v>12.613592543122001</v>
      </c>
      <c r="CI128" s="9">
        <f t="shared" si="38"/>
        <v>1.8343524852796054</v>
      </c>
      <c r="CJ128" s="5">
        <v>54.629046639237977</v>
      </c>
      <c r="CK128" s="5">
        <v>9.0953927915865727</v>
      </c>
      <c r="CL128" s="5">
        <v>58.75571306068683</v>
      </c>
    </row>
    <row r="129" spans="1:90" x14ac:dyDescent="0.25">
      <c r="A129" s="2" t="s">
        <v>285</v>
      </c>
      <c r="B129" s="1" t="s">
        <v>127</v>
      </c>
      <c r="C129" s="1" t="s">
        <v>327</v>
      </c>
      <c r="D129" s="1" t="s">
        <v>328</v>
      </c>
      <c r="E129" s="1" t="s">
        <v>329</v>
      </c>
      <c r="F129" s="21">
        <v>1340.9982310299999</v>
      </c>
      <c r="G129" s="22">
        <v>0.12434564948799999</v>
      </c>
      <c r="H129" s="22">
        <v>2.69412704706E-4</v>
      </c>
      <c r="I129" s="22">
        <v>16939702332.4</v>
      </c>
      <c r="J129" s="22">
        <v>1854238.3967800001</v>
      </c>
      <c r="K129" s="22">
        <f t="shared" si="48"/>
        <v>0.72320702308760654</v>
      </c>
      <c r="L129" s="22">
        <f t="shared" si="49"/>
        <v>0.67060227910248171</v>
      </c>
      <c r="M129" s="22">
        <f t="shared" si="50"/>
        <v>9.1356658139626727</v>
      </c>
      <c r="N129" s="21">
        <v>1340.9982310299999</v>
      </c>
      <c r="O129" s="21">
        <v>0</v>
      </c>
      <c r="P129" s="22">
        <v>0.12434564948799999</v>
      </c>
      <c r="Q129" s="22">
        <v>0</v>
      </c>
      <c r="R129" s="23">
        <v>1239.7279398799999</v>
      </c>
      <c r="S129" s="23">
        <v>101.270288912</v>
      </c>
      <c r="T129" s="23">
        <v>0</v>
      </c>
      <c r="U129" s="23">
        <v>0</v>
      </c>
      <c r="V129" s="23">
        <v>0</v>
      </c>
      <c r="W129" s="23">
        <v>0</v>
      </c>
      <c r="X129" s="22">
        <v>0.110270356438</v>
      </c>
      <c r="Y129" s="22">
        <v>1.40752927691E-2</v>
      </c>
      <c r="Z129" s="22">
        <v>0</v>
      </c>
      <c r="AA129" s="22">
        <v>0</v>
      </c>
      <c r="AB129" s="22">
        <v>0</v>
      </c>
      <c r="AC129" s="22">
        <v>0</v>
      </c>
      <c r="AD129" s="21">
        <v>0</v>
      </c>
      <c r="AE129" s="21">
        <v>0</v>
      </c>
      <c r="AF129" s="21">
        <v>1239.7279390399999</v>
      </c>
      <c r="AG129" s="21">
        <v>0</v>
      </c>
      <c r="AH129" s="21">
        <v>0</v>
      </c>
      <c r="AI129" s="21">
        <v>0</v>
      </c>
      <c r="AJ129" s="21">
        <v>0</v>
      </c>
      <c r="AK129" s="21">
        <v>0</v>
      </c>
      <c r="AL129" s="21">
        <v>101.270288994</v>
      </c>
      <c r="AM129" s="21">
        <v>0</v>
      </c>
      <c r="AN129" s="21">
        <v>0</v>
      </c>
      <c r="AO129" s="21">
        <v>0</v>
      </c>
      <c r="AP129" s="22">
        <v>0</v>
      </c>
      <c r="AQ129" s="22">
        <v>0</v>
      </c>
      <c r="AR129" s="22">
        <v>1.4075292783399999E-2</v>
      </c>
      <c r="AS129" s="22">
        <v>0</v>
      </c>
      <c r="AT129" s="22">
        <v>0</v>
      </c>
      <c r="AU129" s="22">
        <v>0.110270356328</v>
      </c>
      <c r="AV129" s="22">
        <v>0</v>
      </c>
      <c r="AW129" s="22">
        <v>0</v>
      </c>
      <c r="AX129" s="22">
        <v>0</v>
      </c>
      <c r="AY129" s="22">
        <v>0</v>
      </c>
      <c r="AZ129" s="22">
        <v>0</v>
      </c>
      <c r="BA129" s="22">
        <v>0</v>
      </c>
      <c r="BB129" s="7">
        <v>385.88038071900002</v>
      </c>
      <c r="BC129" s="1">
        <v>1.30770573145E-2</v>
      </c>
      <c r="BD129" s="9">
        <v>1</v>
      </c>
      <c r="BE129" s="9">
        <v>0</v>
      </c>
      <c r="BF129" s="10">
        <v>0</v>
      </c>
      <c r="BG129" s="11">
        <v>-23.1290257866</v>
      </c>
      <c r="BH129" s="15">
        <v>500.11111111111109</v>
      </c>
      <c r="BI129" s="20">
        <v>1.0004868549172345</v>
      </c>
      <c r="BJ129" s="15">
        <v>500.35459266471918</v>
      </c>
      <c r="BK129" s="13">
        <f t="shared" si="39"/>
        <v>629767474.94147587</v>
      </c>
      <c r="BL129" s="13">
        <f t="shared" si="30"/>
        <v>16309934857.458523</v>
      </c>
      <c r="BM129" s="14">
        <v>3.7177009523770717</v>
      </c>
      <c r="BN129" s="14">
        <v>96.282299047622928</v>
      </c>
      <c r="BO129" s="16">
        <v>0.11035227272727273</v>
      </c>
      <c r="BP129" s="16">
        <v>4.0502922077922075E-2</v>
      </c>
      <c r="BQ129" s="16">
        <v>0.15623045454545456</v>
      </c>
      <c r="BR129" s="16">
        <v>1.3490000000000002E-2</v>
      </c>
      <c r="BS129" s="16">
        <v>1.5100000000000003E-3</v>
      </c>
      <c r="BT129" s="5">
        <v>3.433636363636364</v>
      </c>
      <c r="BU129" s="5">
        <v>0.95</v>
      </c>
      <c r="BV129" s="5">
        <v>0.151</v>
      </c>
      <c r="BW129" s="16">
        <f>BT129*5.66</f>
        <v>19.434381818181819</v>
      </c>
      <c r="BX129" s="16">
        <f>BU129*1.36</f>
        <v>1.292</v>
      </c>
      <c r="BY129" s="16">
        <f>BV129*1.36</f>
        <v>0.20536000000000001</v>
      </c>
      <c r="BZ129" s="16">
        <v>2.96E-3</v>
      </c>
      <c r="CA129" s="16">
        <f t="shared" si="58"/>
        <v>4.2323982857142859</v>
      </c>
      <c r="CB129" s="9">
        <f t="shared" si="59"/>
        <v>7.595914772727272</v>
      </c>
      <c r="CC129" s="16">
        <f t="shared" si="60"/>
        <v>9.1820447727272742E-2</v>
      </c>
      <c r="CD129" s="16">
        <f t="shared" si="61"/>
        <v>0.29925697159090914</v>
      </c>
      <c r="CE129" s="17">
        <f t="shared" si="62"/>
        <v>7.9869921920454532</v>
      </c>
      <c r="CF129" s="9">
        <f t="shared" si="63"/>
        <v>3.8477775974025969</v>
      </c>
      <c r="CG129" s="18">
        <v>18409454.545454543</v>
      </c>
      <c r="CH129" s="9">
        <f t="shared" si="37"/>
        <v>5.9294211214639896</v>
      </c>
      <c r="CI129" s="9">
        <f t="shared" si="38"/>
        <v>0.68112974991288755</v>
      </c>
      <c r="CJ129" s="5">
        <v>44.136807013092103</v>
      </c>
      <c r="CK129" s="5">
        <v>0</v>
      </c>
      <c r="CL129" s="5">
        <v>44.136807013092103</v>
      </c>
    </row>
    <row r="130" spans="1:90" x14ac:dyDescent="0.25">
      <c r="A130" s="2" t="s">
        <v>286</v>
      </c>
      <c r="B130" s="1" t="s">
        <v>128</v>
      </c>
      <c r="C130" s="1" t="s">
        <v>327</v>
      </c>
      <c r="D130" s="1" t="s">
        <v>340</v>
      </c>
      <c r="E130" s="1" t="s">
        <v>331</v>
      </c>
      <c r="F130" s="21">
        <v>269.53040207399999</v>
      </c>
      <c r="G130" s="22">
        <v>2.8113257960700001E-2</v>
      </c>
      <c r="H130" s="22">
        <v>1.9864398193400001E-4</v>
      </c>
      <c r="I130" s="22">
        <v>2083253969.29</v>
      </c>
      <c r="J130" s="22">
        <v>116681.408553</v>
      </c>
      <c r="K130" s="22">
        <f t="shared" ref="K130:K160" si="64">F130/J130*1000</f>
        <v>2.30996870381087</v>
      </c>
      <c r="L130" s="22">
        <f t="shared" ref="L130:L160" si="65">G130/J130*10000000</f>
        <v>2.4094033753397968</v>
      </c>
      <c r="M130" s="22">
        <f t="shared" ref="M130:M160" si="66">(I130/J130)/1000</f>
        <v>17.854206553769252</v>
      </c>
      <c r="N130" s="21">
        <v>263.95175727600002</v>
      </c>
      <c r="O130" s="21">
        <v>5.5786455441799996</v>
      </c>
      <c r="P130" s="22">
        <v>2.7529223767599999E-2</v>
      </c>
      <c r="Q130" s="22">
        <v>5.8403416108500003E-4</v>
      </c>
      <c r="R130" s="23">
        <v>224.85059365000001</v>
      </c>
      <c r="S130" s="23">
        <v>39.101164819200001</v>
      </c>
      <c r="T130" s="23">
        <v>0</v>
      </c>
      <c r="U130" s="23">
        <v>4.7309926404300002</v>
      </c>
      <c r="V130" s="23">
        <v>0.84765289596899995</v>
      </c>
      <c r="W130" s="23">
        <v>0</v>
      </c>
      <c r="X130" s="22">
        <v>1.9999835684599999E-2</v>
      </c>
      <c r="Y130" s="22">
        <v>7.5293878796199995E-3</v>
      </c>
      <c r="Z130" s="22">
        <v>0</v>
      </c>
      <c r="AA130" s="22">
        <v>4.2080865261E-4</v>
      </c>
      <c r="AB130" s="22">
        <v>1.6322550640500002E-4</v>
      </c>
      <c r="AC130" s="22">
        <v>0</v>
      </c>
      <c r="AD130" s="21">
        <v>0.90607142300299992</v>
      </c>
      <c r="AE130" s="21">
        <v>0</v>
      </c>
      <c r="AF130" s="21">
        <v>223.94452237200002</v>
      </c>
      <c r="AG130" s="21">
        <v>4.7309926358099998</v>
      </c>
      <c r="AH130" s="21">
        <v>0</v>
      </c>
      <c r="AI130" s="21">
        <v>0</v>
      </c>
      <c r="AJ130" s="21">
        <v>0.15976829876699999</v>
      </c>
      <c r="AK130" s="21">
        <v>0</v>
      </c>
      <c r="AL130" s="21">
        <v>38.941396883500005</v>
      </c>
      <c r="AM130" s="21">
        <v>0.84765289529999999</v>
      </c>
      <c r="AN130" s="21">
        <v>0</v>
      </c>
      <c r="AO130" s="21">
        <v>0</v>
      </c>
      <c r="AP130" s="22">
        <v>3.0765259840000002E-5</v>
      </c>
      <c r="AQ130" s="22">
        <v>0</v>
      </c>
      <c r="AR130" s="22">
        <v>7.4986226494099997E-3</v>
      </c>
      <c r="AS130" s="22">
        <v>8.059253651080001E-5</v>
      </c>
      <c r="AT130" s="22">
        <v>0</v>
      </c>
      <c r="AU130" s="22">
        <v>1.99192432046E-2</v>
      </c>
      <c r="AV130" s="22">
        <v>4.2080865283800002E-4</v>
      </c>
      <c r="AW130" s="22">
        <v>0</v>
      </c>
      <c r="AX130" s="22">
        <v>0</v>
      </c>
      <c r="AY130" s="22">
        <v>1.6322550664E-4</v>
      </c>
      <c r="AZ130" s="22">
        <v>0</v>
      </c>
      <c r="BA130" s="22">
        <v>0</v>
      </c>
      <c r="BB130" s="7">
        <v>292.40152325399998</v>
      </c>
      <c r="BC130" s="1">
        <v>9.9091627246499989E-3</v>
      </c>
      <c r="BD130" s="9">
        <v>0.996</v>
      </c>
      <c r="BE130" s="9">
        <v>0</v>
      </c>
      <c r="BF130" s="10">
        <v>4.0000000000000001E-3</v>
      </c>
      <c r="BG130" s="11">
        <v>-13.024284122299999</v>
      </c>
      <c r="BH130" s="15">
        <v>693.22222222222217</v>
      </c>
      <c r="BI130" s="20">
        <v>1</v>
      </c>
      <c r="BJ130" s="15">
        <v>693.22222222222217</v>
      </c>
      <c r="BK130" s="13">
        <f t="shared" si="39"/>
        <v>168619722.85069874</v>
      </c>
      <c r="BL130" s="13">
        <f t="shared" si="30"/>
        <v>1914634246.4393015</v>
      </c>
      <c r="BM130" s="14">
        <v>8.0940550377622245</v>
      </c>
      <c r="BN130" s="14">
        <v>91.905944962237783</v>
      </c>
      <c r="BO130" s="16">
        <v>4.0825375170532058E-2</v>
      </c>
      <c r="BP130" s="16">
        <v>1.4984258579074405E-2</v>
      </c>
      <c r="BQ130" s="16">
        <v>0.18266181818181818</v>
      </c>
      <c r="BR130" s="16">
        <v>3.1704727272727266E-2</v>
      </c>
      <c r="BS130" s="16">
        <v>1.6072727272727277E-2</v>
      </c>
      <c r="BT130" s="5">
        <v>4.0145454545454546</v>
      </c>
      <c r="BU130" s="5">
        <v>2.2327272727272724</v>
      </c>
      <c r="BV130" s="5">
        <v>1.6072727272727272</v>
      </c>
      <c r="BW130" s="16">
        <f>BT130*5.66</f>
        <v>22.722327272727274</v>
      </c>
      <c r="BX130" s="16">
        <f>BU130*1.36</f>
        <v>3.0365090909090906</v>
      </c>
      <c r="BY130" s="16">
        <f>BV130*1.36</f>
        <v>2.1858909090909093</v>
      </c>
      <c r="BZ130" s="16">
        <v>2.96E-3</v>
      </c>
      <c r="CA130" s="16">
        <f t="shared" si="58"/>
        <v>4.9484434285714283</v>
      </c>
      <c r="CB130" s="9">
        <f t="shared" si="59"/>
        <v>2.810146657571623</v>
      </c>
      <c r="CC130" s="16">
        <f t="shared" si="60"/>
        <v>3.3969433833560707E-2</v>
      </c>
      <c r="CD130" s="16">
        <f t="shared" si="61"/>
        <v>0.11071161323328785</v>
      </c>
      <c r="CE130" s="17">
        <f t="shared" si="62"/>
        <v>2.9548277046384714</v>
      </c>
      <c r="CF130" s="9">
        <f t="shared" si="63"/>
        <v>1.4235045650120686</v>
      </c>
      <c r="CG130" s="18">
        <v>3275727.2727272725</v>
      </c>
      <c r="CH130" s="9">
        <f t="shared" si="37"/>
        <v>0.93767334973467154</v>
      </c>
      <c r="CI130" s="9">
        <f t="shared" si="38"/>
        <v>0.12209127877747397</v>
      </c>
      <c r="CJ130" s="5">
        <v>64.206233879680894</v>
      </c>
      <c r="CK130" s="5">
        <v>0</v>
      </c>
      <c r="CL130" s="5">
        <v>64.206233879680894</v>
      </c>
    </row>
    <row r="131" spans="1:90" x14ac:dyDescent="0.25">
      <c r="A131" s="2" t="s">
        <v>287</v>
      </c>
      <c r="B131" s="1" t="s">
        <v>129</v>
      </c>
      <c r="C131" s="1" t="s">
        <v>327</v>
      </c>
      <c r="D131" s="1" t="s">
        <v>340</v>
      </c>
      <c r="E131" s="1" t="s">
        <v>331</v>
      </c>
      <c r="F131" s="21">
        <v>4.2334587479999998E-2</v>
      </c>
      <c r="G131" s="22">
        <v>3.8982192291000003E-6</v>
      </c>
      <c r="H131" s="22">
        <v>0</v>
      </c>
      <c r="I131" s="22">
        <v>43832416.153399996</v>
      </c>
      <c r="J131" s="22">
        <v>27442.923844299999</v>
      </c>
      <c r="K131" s="22">
        <f t="shared" si="64"/>
        <v>1.5426412914377944E-3</v>
      </c>
      <c r="L131" s="22">
        <f t="shared" si="65"/>
        <v>1.4204824716261696E-3</v>
      </c>
      <c r="M131" s="22">
        <f t="shared" si="66"/>
        <v>1.5972210687930819</v>
      </c>
      <c r="N131" s="21">
        <v>4.2334587479999998E-2</v>
      </c>
      <c r="O131" s="21">
        <v>0</v>
      </c>
      <c r="P131" s="22">
        <v>3.8982192291000003E-6</v>
      </c>
      <c r="Q131" s="22">
        <v>0</v>
      </c>
      <c r="R131" s="23">
        <v>3.95278087052E-2</v>
      </c>
      <c r="S131" s="23">
        <v>2.80677893832E-3</v>
      </c>
      <c r="T131" s="23">
        <v>0</v>
      </c>
      <c r="U131" s="23">
        <v>0</v>
      </c>
      <c r="V131" s="23">
        <v>0</v>
      </c>
      <c r="W131" s="23">
        <v>0</v>
      </c>
      <c r="X131" s="22">
        <v>3.51588879127E-6</v>
      </c>
      <c r="Y131" s="22">
        <v>3.8233042416399999E-7</v>
      </c>
      <c r="Z131" s="22">
        <v>0</v>
      </c>
      <c r="AA131" s="22">
        <v>0</v>
      </c>
      <c r="AB131" s="22">
        <v>0</v>
      </c>
      <c r="AC131" s="22">
        <v>0</v>
      </c>
      <c r="AD131" s="21">
        <v>0</v>
      </c>
      <c r="AE131" s="21">
        <v>0</v>
      </c>
      <c r="AF131" s="21">
        <v>3.9527808710299997E-2</v>
      </c>
      <c r="AG131" s="21">
        <v>0</v>
      </c>
      <c r="AH131" s="21">
        <v>0</v>
      </c>
      <c r="AI131" s="21">
        <v>0</v>
      </c>
      <c r="AJ131" s="21">
        <v>0</v>
      </c>
      <c r="AK131" s="21">
        <v>0</v>
      </c>
      <c r="AL131" s="21">
        <v>2.8067789297699999E-3</v>
      </c>
      <c r="AM131" s="21">
        <v>0</v>
      </c>
      <c r="AN131" s="21">
        <v>0</v>
      </c>
      <c r="AO131" s="21">
        <v>0</v>
      </c>
      <c r="AP131" s="22">
        <v>0</v>
      </c>
      <c r="AQ131" s="22">
        <v>0</v>
      </c>
      <c r="AR131" s="22">
        <v>3.8233042593899999E-7</v>
      </c>
      <c r="AS131" s="22">
        <v>0</v>
      </c>
      <c r="AT131" s="22">
        <v>0</v>
      </c>
      <c r="AU131" s="22">
        <v>3.5158887924299997E-6</v>
      </c>
      <c r="AV131" s="22">
        <v>0</v>
      </c>
      <c r="AW131" s="22">
        <v>0</v>
      </c>
      <c r="AX131" s="22">
        <v>0</v>
      </c>
      <c r="AY131" s="22">
        <v>0</v>
      </c>
      <c r="AZ131" s="22">
        <v>0</v>
      </c>
      <c r="BA131" s="22">
        <v>0</v>
      </c>
      <c r="BB131" s="7">
        <v>1.57276758971</v>
      </c>
      <c r="BC131" s="1">
        <v>5.3299346108899996E-5</v>
      </c>
      <c r="BD131" s="9">
        <v>1</v>
      </c>
      <c r="BE131" s="9">
        <v>0</v>
      </c>
      <c r="BF131" s="10">
        <v>0</v>
      </c>
      <c r="BG131" s="11">
        <v>-6.8166705545999999</v>
      </c>
      <c r="BH131" s="12">
        <v>490.38045449999998</v>
      </c>
      <c r="BI131" s="20">
        <v>1</v>
      </c>
      <c r="BJ131" s="15">
        <v>490.38045449999998</v>
      </c>
      <c r="BK131" s="13">
        <f t="shared" si="39"/>
        <v>35755.311107910224</v>
      </c>
      <c r="BL131" s="13">
        <f t="shared" ref="BL131:BL160" si="67">I131*BN131*0.01</f>
        <v>43796660.842292078</v>
      </c>
      <c r="BM131" s="14">
        <v>8.1572758806581908E-2</v>
      </c>
      <c r="BN131" s="14">
        <v>99.918427241193413</v>
      </c>
      <c r="BO131" s="16"/>
      <c r="BP131" s="16" t="s">
        <v>395</v>
      </c>
      <c r="BQ131" s="16" t="s">
        <v>395</v>
      </c>
      <c r="BR131" s="16" t="s">
        <v>395</v>
      </c>
      <c r="BS131" s="16" t="s">
        <v>391</v>
      </c>
      <c r="BT131" s="16" t="s">
        <v>395</v>
      </c>
      <c r="BU131" s="16" t="s">
        <v>391</v>
      </c>
      <c r="BV131" s="16" t="s">
        <v>395</v>
      </c>
      <c r="BW131" s="16" t="s">
        <v>395</v>
      </c>
      <c r="BX131" s="16" t="s">
        <v>396</v>
      </c>
      <c r="BY131" s="16" t="s">
        <v>397</v>
      </c>
      <c r="BZ131" s="16" t="s">
        <v>395</v>
      </c>
      <c r="CA131" s="16" t="s">
        <v>394</v>
      </c>
      <c r="CB131" s="16" t="s">
        <v>395</v>
      </c>
      <c r="CC131" s="16" t="s">
        <v>398</v>
      </c>
      <c r="CD131" s="16" t="s">
        <v>395</v>
      </c>
      <c r="CE131" s="16" t="s">
        <v>395</v>
      </c>
      <c r="CF131" s="16" t="s">
        <v>398</v>
      </c>
      <c r="CG131" s="18">
        <v>1371836.3636363638</v>
      </c>
      <c r="CH131" s="9" t="s">
        <v>447</v>
      </c>
      <c r="CI131" s="9" t="s">
        <v>447</v>
      </c>
      <c r="CJ131" s="5">
        <v>68.16590424822428</v>
      </c>
      <c r="CK131" s="5">
        <v>0</v>
      </c>
      <c r="CL131" s="5">
        <v>68.16590424822428</v>
      </c>
    </row>
    <row r="132" spans="1:90" x14ac:dyDescent="0.25">
      <c r="A132" s="2" t="s">
        <v>288</v>
      </c>
      <c r="B132" s="1" t="s">
        <v>130</v>
      </c>
      <c r="C132" s="1" t="s">
        <v>332</v>
      </c>
      <c r="D132" s="1" t="s">
        <v>338</v>
      </c>
      <c r="E132" s="1" t="s">
        <v>339</v>
      </c>
      <c r="F132" s="21">
        <v>133.285782643</v>
      </c>
      <c r="G132" s="22">
        <v>1.14848122394E-2</v>
      </c>
      <c r="H132" s="22">
        <v>4.5819880039199999E-6</v>
      </c>
      <c r="I132" s="22">
        <v>1094548666.28</v>
      </c>
      <c r="J132" s="22">
        <v>52113.678531600002</v>
      </c>
      <c r="K132" s="22">
        <f t="shared" si="64"/>
        <v>2.5575968996734697</v>
      </c>
      <c r="L132" s="22">
        <f t="shared" si="65"/>
        <v>2.2037999548306675</v>
      </c>
      <c r="M132" s="22">
        <f t="shared" si="66"/>
        <v>21.003097404001178</v>
      </c>
      <c r="N132" s="21">
        <v>76.139273904800007</v>
      </c>
      <c r="O132" s="21">
        <v>57.1465083975</v>
      </c>
      <c r="P132" s="22">
        <v>6.5730060248500007E-3</v>
      </c>
      <c r="Q132" s="22">
        <v>4.9118059869999999E-3</v>
      </c>
      <c r="R132" s="23">
        <v>26.445801928600002</v>
      </c>
      <c r="S132" s="23">
        <v>49.693472007300002</v>
      </c>
      <c r="T132" s="23">
        <v>0</v>
      </c>
      <c r="U132" s="23">
        <v>14.4703833684</v>
      </c>
      <c r="V132" s="23">
        <v>42.676125285200001</v>
      </c>
      <c r="W132" s="23">
        <v>0</v>
      </c>
      <c r="X132" s="22">
        <v>2.3522805871099999E-3</v>
      </c>
      <c r="Y132" s="22">
        <v>4.2207254751E-3</v>
      </c>
      <c r="Z132" s="22">
        <v>0</v>
      </c>
      <c r="AA132" s="22">
        <v>1.2871004053500001E-3</v>
      </c>
      <c r="AB132" s="22">
        <v>3.6247055900099998E-3</v>
      </c>
      <c r="AC132" s="22">
        <v>0</v>
      </c>
      <c r="AD132" s="21">
        <v>0.75416698526000003</v>
      </c>
      <c r="AE132" s="21">
        <v>2.30841390325</v>
      </c>
      <c r="AF132" s="21">
        <v>23.383219975199999</v>
      </c>
      <c r="AG132" s="21">
        <v>2.5750928663899999</v>
      </c>
      <c r="AH132" s="21">
        <v>11.895290471699999</v>
      </c>
      <c r="AI132" s="21">
        <v>0</v>
      </c>
      <c r="AJ132" s="21">
        <v>1.4341837542</v>
      </c>
      <c r="AK132" s="21">
        <v>4.4472955914899996</v>
      </c>
      <c r="AL132" s="21">
        <v>43.811993443400006</v>
      </c>
      <c r="AM132" s="21">
        <v>7.5944765751999999</v>
      </c>
      <c r="AN132" s="21">
        <v>35.081648678699999</v>
      </c>
      <c r="AO132" s="21">
        <v>0</v>
      </c>
      <c r="AP132" s="22">
        <v>1.2181269569E-4</v>
      </c>
      <c r="AQ132" s="22">
        <v>3.7773197821899996E-4</v>
      </c>
      <c r="AR132" s="22">
        <v>3.7211808455599998E-3</v>
      </c>
      <c r="AS132" s="22">
        <v>6.7081057395499991E-5</v>
      </c>
      <c r="AT132" s="22">
        <v>2.0532700838100002E-4</v>
      </c>
      <c r="AU132" s="22">
        <v>2.07987249617E-3</v>
      </c>
      <c r="AV132" s="22">
        <v>2.29047356703E-4</v>
      </c>
      <c r="AW132" s="22">
        <v>1.05805305342E-3</v>
      </c>
      <c r="AX132" s="22">
        <v>0</v>
      </c>
      <c r="AY132" s="22">
        <v>6.4503844907799995E-4</v>
      </c>
      <c r="AZ132" s="22">
        <v>2.9796671537499998E-3</v>
      </c>
      <c r="BA132" s="22">
        <v>0</v>
      </c>
      <c r="BB132" s="7">
        <v>286.599356376</v>
      </c>
      <c r="BC132" s="1">
        <v>5.6523761293899993E-3</v>
      </c>
      <c r="BD132" s="9">
        <v>0.91900000000000004</v>
      </c>
      <c r="BE132" s="9">
        <v>5.5E-2</v>
      </c>
      <c r="BF132" s="10">
        <v>2.5999999999999999E-2</v>
      </c>
      <c r="BG132" s="11">
        <v>-27.587029052799998</v>
      </c>
      <c r="BH132" s="15">
        <v>296.55555555555554</v>
      </c>
      <c r="BI132" s="20">
        <v>1.031060606060606</v>
      </c>
      <c r="BJ132" s="15">
        <v>305.76675084175082</v>
      </c>
      <c r="BK132" s="13">
        <f t="shared" si="39"/>
        <v>78719295.713071764</v>
      </c>
      <c r="BL132" s="13">
        <f t="shared" si="67"/>
        <v>1015829370.5669281</v>
      </c>
      <c r="BM132" s="14">
        <v>7.1919411295444702</v>
      </c>
      <c r="BN132" s="14">
        <v>92.808058870455525</v>
      </c>
      <c r="BO132" s="16">
        <v>0.69567786834092915</v>
      </c>
      <c r="BP132" s="16">
        <v>0.29181338527581829</v>
      </c>
      <c r="BQ132" s="16">
        <v>2.9354945454545458</v>
      </c>
      <c r="BR132" s="16">
        <v>0.22991090909090908</v>
      </c>
      <c r="BS132" s="16">
        <v>9.1663636363636364E-2</v>
      </c>
      <c r="BT132" s="16">
        <v>64.516363636363636</v>
      </c>
      <c r="BU132" s="16">
        <v>16.190909090909091</v>
      </c>
      <c r="BV132" s="16">
        <v>9.166363636363636</v>
      </c>
      <c r="BW132" s="16">
        <f>BT132*3.53</f>
        <v>227.74276363636363</v>
      </c>
      <c r="BX132" s="16">
        <f>BU132*0.54</f>
        <v>8.7430909090909097</v>
      </c>
      <c r="BY132" s="16">
        <f>BV132*1.02</f>
        <v>9.3496909090909082</v>
      </c>
      <c r="BZ132" s="16">
        <v>2.4420000000000001E-2</v>
      </c>
      <c r="CA132" s="16">
        <f>(BT132*BZ132)*(44/28)*265</f>
        <v>656.07888342857143</v>
      </c>
      <c r="CB132" s="9">
        <f>(74.1+69.3+63.1)/3*BO132</f>
        <v>47.885826604133953</v>
      </c>
      <c r="CC132" s="16">
        <f>(0.00415+0.08+0.005)/3*BO132*28</f>
        <v>0.57885036498420916</v>
      </c>
      <c r="CD132" s="16">
        <f>(0.0286+0.002+0.0001)/3*BO132*265</f>
        <v>1.8865624326292099</v>
      </c>
      <c r="CE132" s="17">
        <f>CB132+CC132+CD132</f>
        <v>50.351239401747371</v>
      </c>
      <c r="CF132" s="9">
        <f>BP132*95</f>
        <v>27.722271601202738</v>
      </c>
      <c r="CG132" s="18">
        <v>865172.72727272718</v>
      </c>
      <c r="CH132" s="9">
        <f t="shared" ref="CH132:CH160" si="68">(BO132+BP132+BQ132+BR132+BS132)*CG132/1000000</f>
        <v>3.6722778493470867</v>
      </c>
      <c r="CI132" s="9">
        <f t="shared" ref="CI132:CI160" si="69">(BW132+BX132+BY132+CA132+CE132+CF132)*CG132/1000000000</f>
        <v>0.84785883864560996</v>
      </c>
      <c r="CJ132" s="5">
        <v>32.296443733959926</v>
      </c>
      <c r="CK132" s="5">
        <v>0</v>
      </c>
      <c r="CL132" s="5">
        <v>32.296443733959926</v>
      </c>
    </row>
    <row r="133" spans="1:90" x14ac:dyDescent="0.25">
      <c r="A133" s="2" t="s">
        <v>289</v>
      </c>
      <c r="B133" s="1" t="s">
        <v>131</v>
      </c>
      <c r="C133" s="1" t="s">
        <v>327</v>
      </c>
      <c r="D133" s="1" t="s">
        <v>345</v>
      </c>
      <c r="E133" s="1" t="s">
        <v>331</v>
      </c>
      <c r="F133" s="21">
        <v>106.826042911</v>
      </c>
      <c r="G133" s="22">
        <v>9.6593975796100007E-3</v>
      </c>
      <c r="H133" s="22">
        <v>0</v>
      </c>
      <c r="I133" s="22">
        <v>682771043.40900004</v>
      </c>
      <c r="J133" s="22">
        <v>198364.498284</v>
      </c>
      <c r="K133" s="22">
        <f t="shared" si="64"/>
        <v>0.53853408162813654</v>
      </c>
      <c r="L133" s="22">
        <f t="shared" si="65"/>
        <v>0.48695193258728015</v>
      </c>
      <c r="M133" s="22">
        <f t="shared" si="66"/>
        <v>3.4420022197292153</v>
      </c>
      <c r="N133" s="21">
        <v>106.826042911</v>
      </c>
      <c r="O133" s="21">
        <v>0</v>
      </c>
      <c r="P133" s="22">
        <v>9.6593975796100007E-3</v>
      </c>
      <c r="Q133" s="22">
        <v>0</v>
      </c>
      <c r="R133" s="23">
        <v>105.33077268300001</v>
      </c>
      <c r="S133" s="23">
        <v>1.4952700204</v>
      </c>
      <c r="T133" s="23">
        <v>0</v>
      </c>
      <c r="U133" s="23">
        <v>0</v>
      </c>
      <c r="V133" s="23">
        <v>0</v>
      </c>
      <c r="W133" s="23">
        <v>0</v>
      </c>
      <c r="X133" s="22">
        <v>9.3688796639899985E-3</v>
      </c>
      <c r="Y133" s="22">
        <v>2.9051789806099998E-4</v>
      </c>
      <c r="Z133" s="22">
        <v>0</v>
      </c>
      <c r="AA133" s="22">
        <v>0</v>
      </c>
      <c r="AB133" s="22">
        <v>0</v>
      </c>
      <c r="AC133" s="22">
        <v>0</v>
      </c>
      <c r="AD133" s="21">
        <v>0</v>
      </c>
      <c r="AE133" s="21">
        <v>0</v>
      </c>
      <c r="AF133" s="21">
        <v>105.33077303399999</v>
      </c>
      <c r="AG133" s="21">
        <v>0</v>
      </c>
      <c r="AH133" s="21">
        <v>0</v>
      </c>
      <c r="AI133" s="21">
        <v>0</v>
      </c>
      <c r="AJ133" s="21">
        <v>0</v>
      </c>
      <c r="AK133" s="21">
        <v>0</v>
      </c>
      <c r="AL133" s="21">
        <v>1.4952700220099999</v>
      </c>
      <c r="AM133" s="21">
        <v>0</v>
      </c>
      <c r="AN133" s="21">
        <v>0</v>
      </c>
      <c r="AO133" s="21">
        <v>0</v>
      </c>
      <c r="AP133" s="22">
        <v>0</v>
      </c>
      <c r="AQ133" s="22">
        <v>0</v>
      </c>
      <c r="AR133" s="22">
        <v>2.9051789863899998E-4</v>
      </c>
      <c r="AS133" s="22">
        <v>0</v>
      </c>
      <c r="AT133" s="22">
        <v>0</v>
      </c>
      <c r="AU133" s="22">
        <v>9.3688796672399995E-3</v>
      </c>
      <c r="AV133" s="22">
        <v>0</v>
      </c>
      <c r="AW133" s="22">
        <v>0</v>
      </c>
      <c r="AX133" s="22">
        <v>0</v>
      </c>
      <c r="AY133" s="22">
        <v>0</v>
      </c>
      <c r="AZ133" s="22">
        <v>0</v>
      </c>
      <c r="BA133" s="22">
        <v>0</v>
      </c>
      <c r="BB133" s="7">
        <v>221.323749252</v>
      </c>
      <c r="BC133" s="1">
        <v>7.5004159305100005E-3</v>
      </c>
      <c r="BD133" s="9">
        <v>1</v>
      </c>
      <c r="BE133" s="9">
        <v>0</v>
      </c>
      <c r="BF133" s="10">
        <v>0</v>
      </c>
      <c r="BG133" s="11">
        <v>-31.249141335200001</v>
      </c>
      <c r="BH133" s="12">
        <v>699.44854550000002</v>
      </c>
      <c r="BI133" s="20">
        <v>1</v>
      </c>
      <c r="BJ133" s="15">
        <v>699.44854550000002</v>
      </c>
      <c r="BK133" s="13">
        <f t="shared" si="39"/>
        <v>31437906.646960426</v>
      </c>
      <c r="BL133" s="13">
        <f t="shared" si="67"/>
        <v>651333136.76203966</v>
      </c>
      <c r="BM133" s="14">
        <v>4.6044581050178177</v>
      </c>
      <c r="BN133" s="14">
        <v>95.395541894982188</v>
      </c>
      <c r="BO133" s="16" t="s">
        <v>394</v>
      </c>
      <c r="BP133" s="16" t="s">
        <v>394</v>
      </c>
      <c r="BQ133" s="16" t="s">
        <v>391</v>
      </c>
      <c r="BR133" s="16" t="s">
        <v>391</v>
      </c>
      <c r="BS133" s="16" t="s">
        <v>394</v>
      </c>
      <c r="BT133" s="16" t="s">
        <v>394</v>
      </c>
      <c r="BU133" s="16" t="s">
        <v>399</v>
      </c>
      <c r="BV133" s="16" t="s">
        <v>394</v>
      </c>
      <c r="BW133" s="16" t="s">
        <v>394</v>
      </c>
      <c r="BX133" s="16" t="s">
        <v>395</v>
      </c>
      <c r="BY133" s="16" t="s">
        <v>394</v>
      </c>
      <c r="BZ133" s="16" t="s">
        <v>394</v>
      </c>
      <c r="CA133" s="16" t="s">
        <v>394</v>
      </c>
      <c r="CB133" s="16" t="s">
        <v>394</v>
      </c>
      <c r="CC133" s="16" t="s">
        <v>394</v>
      </c>
      <c r="CD133" s="16" t="s">
        <v>394</v>
      </c>
      <c r="CE133" s="16" t="s">
        <v>394</v>
      </c>
      <c r="CF133" s="16" t="s">
        <v>395</v>
      </c>
      <c r="CG133" s="18">
        <v>1179454.5454545454</v>
      </c>
      <c r="CH133" s="9" t="s">
        <v>447</v>
      </c>
      <c r="CI133" s="9" t="s">
        <v>447</v>
      </c>
      <c r="CJ133" s="5">
        <v>68.159134269233803</v>
      </c>
      <c r="CK133" s="5">
        <v>0</v>
      </c>
      <c r="CL133" s="5">
        <v>68.159134269233803</v>
      </c>
    </row>
    <row r="134" spans="1:90" x14ac:dyDescent="0.25">
      <c r="A134" s="2" t="s">
        <v>290</v>
      </c>
      <c r="B134" s="1" t="s">
        <v>132</v>
      </c>
      <c r="C134" s="1" t="s">
        <v>324</v>
      </c>
      <c r="D134" s="1" t="s">
        <v>325</v>
      </c>
      <c r="E134" s="1" t="s">
        <v>326</v>
      </c>
      <c r="F134" s="21">
        <v>47.294714248200002</v>
      </c>
      <c r="G134" s="22">
        <v>8.3221847650599996E-3</v>
      </c>
      <c r="H134" s="22">
        <v>2.88482057839E-6</v>
      </c>
      <c r="I134" s="22">
        <v>126026107.402</v>
      </c>
      <c r="J134" s="22">
        <v>160757.75773099999</v>
      </c>
      <c r="K134" s="22">
        <f t="shared" si="64"/>
        <v>0.29419864344798491</v>
      </c>
      <c r="L134" s="22">
        <f t="shared" si="65"/>
        <v>0.51768479994512751</v>
      </c>
      <c r="M134" s="22">
        <f t="shared" si="66"/>
        <v>0.78395039331714655</v>
      </c>
      <c r="N134" s="21">
        <v>16.271199293799999</v>
      </c>
      <c r="O134" s="21">
        <v>31.0235147241</v>
      </c>
      <c r="P134" s="22">
        <v>2.86261569426E-3</v>
      </c>
      <c r="Q134" s="22">
        <v>5.4595690756299997E-3</v>
      </c>
      <c r="R134" s="23">
        <v>6.0240530773999996</v>
      </c>
      <c r="S134" s="23">
        <v>10.2471462903</v>
      </c>
      <c r="T134" s="23">
        <v>0</v>
      </c>
      <c r="U134" s="23">
        <v>11.4744988336</v>
      </c>
      <c r="V134" s="23">
        <v>19.549015902400001</v>
      </c>
      <c r="W134" s="23">
        <v>0</v>
      </c>
      <c r="X134" s="22">
        <v>5.3582278962199998E-4</v>
      </c>
      <c r="Y134" s="22">
        <v>2.32679291363E-3</v>
      </c>
      <c r="Z134" s="22">
        <v>0</v>
      </c>
      <c r="AA134" s="22">
        <v>1.02062480088E-3</v>
      </c>
      <c r="AB134" s="22">
        <v>4.4389442882900006E-3</v>
      </c>
      <c r="AC134" s="22">
        <v>0</v>
      </c>
      <c r="AD134" s="21">
        <v>0.28932991627900001</v>
      </c>
      <c r="AE134" s="21">
        <v>1.98963770449</v>
      </c>
      <c r="AF134" s="21">
        <v>3.7450854712499999</v>
      </c>
      <c r="AG134" s="21">
        <v>0.96274722569800009</v>
      </c>
      <c r="AH134" s="21">
        <v>10.5117516202</v>
      </c>
      <c r="AI134" s="21">
        <v>0</v>
      </c>
      <c r="AJ134" s="21">
        <v>0.491398368699</v>
      </c>
      <c r="AK134" s="21">
        <v>3.4168714516800001</v>
      </c>
      <c r="AL134" s="21">
        <v>6.3388764798899997</v>
      </c>
      <c r="AM134" s="21">
        <v>1.6402250816299999</v>
      </c>
      <c r="AN134" s="21">
        <v>17.908790807500001</v>
      </c>
      <c r="AO134" s="21">
        <v>0</v>
      </c>
      <c r="AP134" s="22">
        <v>1.11580551537E-4</v>
      </c>
      <c r="AQ134" s="22">
        <v>7.7586013311300008E-4</v>
      </c>
      <c r="AR134" s="22">
        <v>1.43935222077E-3</v>
      </c>
      <c r="AS134" s="22">
        <v>2.5735092328499999E-5</v>
      </c>
      <c r="AT134" s="22">
        <v>1.76972747261E-4</v>
      </c>
      <c r="AU134" s="22">
        <v>3.3311494838599996E-4</v>
      </c>
      <c r="AV134" s="22">
        <v>8.5633691481199988E-5</v>
      </c>
      <c r="AW134" s="22">
        <v>9.3499110544099993E-4</v>
      </c>
      <c r="AX134" s="22">
        <v>0</v>
      </c>
      <c r="AY134" s="22">
        <v>3.7244165087400004E-4</v>
      </c>
      <c r="AZ134" s="22">
        <v>4.0665026393099995E-3</v>
      </c>
      <c r="BA134" s="22">
        <v>0</v>
      </c>
      <c r="BB134" s="7">
        <v>2316.2161207600002</v>
      </c>
      <c r="BC134" s="1">
        <v>3.6673421972999998E-2</v>
      </c>
      <c r="BD134" s="9">
        <v>0.7</v>
      </c>
      <c r="BE134" s="9">
        <v>0.25</v>
      </c>
      <c r="BF134" s="10">
        <v>0.05</v>
      </c>
      <c r="BG134" s="11">
        <v>-28.121017569500001</v>
      </c>
      <c r="BH134" s="15">
        <v>946.55555555555554</v>
      </c>
      <c r="BI134" s="20">
        <v>0.86359712230215835</v>
      </c>
      <c r="BJ134" s="15">
        <v>817.44265387689859</v>
      </c>
      <c r="BK134" s="13">
        <f t="shared" si="39"/>
        <v>10443576.377518371</v>
      </c>
      <c r="BL134" s="13">
        <f t="shared" si="67"/>
        <v>115582531.02448162</v>
      </c>
      <c r="BM134" s="14">
        <v>8.2868356349413315</v>
      </c>
      <c r="BN134" s="14">
        <v>91.71316436505866</v>
      </c>
      <c r="BO134" s="16">
        <v>10.299122270742359</v>
      </c>
      <c r="BP134" s="16">
        <v>4.3201341769895727</v>
      </c>
      <c r="BQ134" s="16">
        <v>2.6087425</v>
      </c>
      <c r="BR134" s="16">
        <v>0.20308366666666666</v>
      </c>
      <c r="BS134" s="16">
        <v>0.19206666666666669</v>
      </c>
      <c r="BT134" s="5">
        <v>95.236000000000004</v>
      </c>
      <c r="BU134" s="5">
        <v>27.954000000000001</v>
      </c>
      <c r="BV134" s="5">
        <v>19.391999999999999</v>
      </c>
      <c r="BW134" s="16">
        <f>BT134*5.66</f>
        <v>539.03575999999998</v>
      </c>
      <c r="BX134" s="16">
        <f>BU134*1.36</f>
        <v>38.017440000000001</v>
      </c>
      <c r="BY134" s="16">
        <f>BV134*1.36</f>
        <v>26.37312</v>
      </c>
      <c r="BZ134" s="16">
        <v>7.1999999999999998E-3</v>
      </c>
      <c r="CA134" s="16">
        <f t="shared" ref="CA134:CA140" si="70">(BT134*BZ134)*(44/28)*265</f>
        <v>285.54473828571435</v>
      </c>
      <c r="CB134" s="9">
        <f t="shared" ref="CB134:CB140" si="71">(74.1+69.3+63.1)/3*BO134</f>
        <v>708.92291630276566</v>
      </c>
      <c r="CC134" s="16">
        <f t="shared" ref="CC134:CC140" si="72">(0.00415+0.08+0.005)/3*BO134*28</f>
        <v>8.5695563374090256</v>
      </c>
      <c r="CD134" s="16">
        <f t="shared" ref="CD134:CD140" si="73">(0.0286+0.002+0.0001)/3*BO134*265</f>
        <v>27.929503077874823</v>
      </c>
      <c r="CE134" s="17">
        <f t="shared" ref="CE134:CE140" si="74">CB134+CC134+CD134</f>
        <v>745.42197571804957</v>
      </c>
      <c r="CF134" s="9">
        <f t="shared" ref="CF134:CF140" si="75">BP134*95</f>
        <v>410.41274681400938</v>
      </c>
      <c r="CG134" s="18">
        <v>2818380</v>
      </c>
      <c r="CH134" s="9">
        <f t="shared" si="68"/>
        <v>49.668731470768726</v>
      </c>
      <c r="CI134" s="9">
        <f t="shared" si="69"/>
        <v>5.7630397165411953</v>
      </c>
      <c r="CJ134" s="5">
        <v>60.926579231735744</v>
      </c>
      <c r="CK134" s="5">
        <v>10.57852366552793</v>
      </c>
      <c r="CL134" s="5">
        <v>65.059970294637878</v>
      </c>
    </row>
    <row r="135" spans="1:90" x14ac:dyDescent="0.25">
      <c r="A135" s="2" t="s">
        <v>291</v>
      </c>
      <c r="B135" s="1" t="s">
        <v>133</v>
      </c>
      <c r="C135" s="1" t="s">
        <v>334</v>
      </c>
      <c r="D135" s="1" t="s">
        <v>334</v>
      </c>
      <c r="E135" s="1" t="s">
        <v>339</v>
      </c>
      <c r="F135" s="21">
        <v>14.387140416699999</v>
      </c>
      <c r="G135" s="22">
        <v>1.28394816455E-3</v>
      </c>
      <c r="H135" s="22">
        <v>0</v>
      </c>
      <c r="I135" s="22">
        <v>431689255.69099998</v>
      </c>
      <c r="J135" s="22">
        <v>49097.062782399997</v>
      </c>
      <c r="K135" s="22">
        <f t="shared" si="64"/>
        <v>0.29303464609409202</v>
      </c>
      <c r="L135" s="22">
        <f t="shared" si="65"/>
        <v>0.26151221514828815</v>
      </c>
      <c r="M135" s="22">
        <f t="shared" si="66"/>
        <v>8.7925678487990773</v>
      </c>
      <c r="N135" s="21">
        <v>0</v>
      </c>
      <c r="O135" s="21">
        <v>14.387140416699999</v>
      </c>
      <c r="P135" s="22">
        <v>0</v>
      </c>
      <c r="Q135" s="22">
        <v>1.28394816455E-3</v>
      </c>
      <c r="R135" s="23">
        <v>0</v>
      </c>
      <c r="S135" s="23">
        <v>0</v>
      </c>
      <c r="T135" s="23">
        <v>0</v>
      </c>
      <c r="U135" s="23">
        <v>12.558966934800001</v>
      </c>
      <c r="V135" s="23">
        <v>1.82817351748</v>
      </c>
      <c r="W135" s="23">
        <v>0</v>
      </c>
      <c r="X135" s="22">
        <v>0</v>
      </c>
      <c r="Y135" s="22">
        <v>0</v>
      </c>
      <c r="Z135" s="22">
        <v>0</v>
      </c>
      <c r="AA135" s="22">
        <v>1.11708522784E-3</v>
      </c>
      <c r="AB135" s="22">
        <v>1.6686293609100001E-4</v>
      </c>
      <c r="AC135" s="22">
        <v>0</v>
      </c>
      <c r="AD135" s="21">
        <v>0</v>
      </c>
      <c r="AE135" s="21">
        <v>0</v>
      </c>
      <c r="AF135" s="21">
        <v>0</v>
      </c>
      <c r="AG135" s="21">
        <v>0</v>
      </c>
      <c r="AH135" s="21">
        <v>12.558966917899999</v>
      </c>
      <c r="AI135" s="21">
        <v>0</v>
      </c>
      <c r="AJ135" s="21">
        <v>0</v>
      </c>
      <c r="AK135" s="21">
        <v>0</v>
      </c>
      <c r="AL135" s="21">
        <v>0</v>
      </c>
      <c r="AM135" s="21">
        <v>0</v>
      </c>
      <c r="AN135" s="21">
        <v>1.8281735109200001</v>
      </c>
      <c r="AO135" s="21">
        <v>0</v>
      </c>
      <c r="AP135" s="22">
        <v>0</v>
      </c>
      <c r="AQ135" s="22">
        <v>0</v>
      </c>
      <c r="AR135" s="22">
        <v>0</v>
      </c>
      <c r="AS135" s="22">
        <v>0</v>
      </c>
      <c r="AT135" s="22">
        <v>0</v>
      </c>
      <c r="AU135" s="22">
        <v>0</v>
      </c>
      <c r="AV135" s="22">
        <v>0</v>
      </c>
      <c r="AW135" s="22">
        <v>1.1170852265E-3</v>
      </c>
      <c r="AX135" s="22">
        <v>0</v>
      </c>
      <c r="AY135" s="22">
        <v>0</v>
      </c>
      <c r="AZ135" s="22">
        <v>1.6686293588499999E-4</v>
      </c>
      <c r="BA135" s="22">
        <v>0</v>
      </c>
      <c r="BB135" s="7">
        <v>3.07880081236E-2</v>
      </c>
      <c r="BC135" s="1">
        <v>6.0720795393000007E-7</v>
      </c>
      <c r="BD135" s="9">
        <v>0.97899999999999998</v>
      </c>
      <c r="BE135" s="9">
        <v>2.1000000000000001E-2</v>
      </c>
      <c r="BF135" s="10">
        <v>0</v>
      </c>
      <c r="BG135" s="11">
        <v>-3.2502092138899998</v>
      </c>
      <c r="BH135" s="12">
        <v>328.58290909999999</v>
      </c>
      <c r="BI135" s="20">
        <v>1</v>
      </c>
      <c r="BJ135" s="15">
        <v>328.58290909999999</v>
      </c>
      <c r="BK135" s="13">
        <f t="shared" si="39"/>
        <v>0</v>
      </c>
      <c r="BL135" s="13">
        <f t="shared" si="67"/>
        <v>431689255.69099998</v>
      </c>
      <c r="BM135" s="14">
        <v>0</v>
      </c>
      <c r="BN135" s="14">
        <v>100</v>
      </c>
      <c r="BO135" s="16">
        <v>2.8478690807799443</v>
      </c>
      <c r="BP135" s="16">
        <v>1.1945849582172701</v>
      </c>
      <c r="BQ135" s="16">
        <v>5.3891440909090909</v>
      </c>
      <c r="BR135" s="16">
        <v>0.28923822222222223</v>
      </c>
      <c r="BS135" s="16">
        <v>0.19482727272727274</v>
      </c>
      <c r="BT135" s="5">
        <v>118.44272727272727</v>
      </c>
      <c r="BU135" s="5">
        <v>20.36888888888889</v>
      </c>
      <c r="BV135" s="5">
        <v>19.482727272727274</v>
      </c>
      <c r="BW135" s="16">
        <f>BT135*3.53</f>
        <v>418.10282727272721</v>
      </c>
      <c r="BX135" s="16">
        <f>BU135*0.54</f>
        <v>10.999200000000002</v>
      </c>
      <c r="BY135" s="16">
        <f>BV135*1.02</f>
        <v>19.872381818181822</v>
      </c>
      <c r="BZ135" s="16">
        <v>2.4420000000000001E-2</v>
      </c>
      <c r="CA135" s="16">
        <f t="shared" si="70"/>
        <v>1204.4660901428572</v>
      </c>
      <c r="CB135" s="9">
        <f t="shared" si="71"/>
        <v>196.02832172701949</v>
      </c>
      <c r="CC135" s="16">
        <f t="shared" si="72"/>
        <v>2.3696169331476327</v>
      </c>
      <c r="CD135" s="16">
        <f t="shared" si="73"/>
        <v>7.7229463022284124</v>
      </c>
      <c r="CE135" s="17">
        <f t="shared" si="74"/>
        <v>206.12088496239554</v>
      </c>
      <c r="CF135" s="9">
        <f t="shared" si="75"/>
        <v>113.48557103064066</v>
      </c>
      <c r="CG135" s="18">
        <v>58363.636363636368</v>
      </c>
      <c r="CH135" s="9">
        <f t="shared" si="68"/>
        <v>0.5787141861052203</v>
      </c>
      <c r="CI135" s="9">
        <f t="shared" si="69"/>
        <v>0.11515419502323704</v>
      </c>
      <c r="CJ135" s="5">
        <v>43.555858119412314</v>
      </c>
      <c r="CK135" s="5">
        <v>0</v>
      </c>
      <c r="CL135" s="5">
        <v>43.555858119412314</v>
      </c>
    </row>
    <row r="136" spans="1:90" x14ac:dyDescent="0.25">
      <c r="A136" s="2" t="s">
        <v>292</v>
      </c>
      <c r="B136" s="1" t="s">
        <v>134</v>
      </c>
      <c r="C136" s="1" t="s">
        <v>324</v>
      </c>
      <c r="D136" s="1" t="s">
        <v>343</v>
      </c>
      <c r="E136" s="1" t="s">
        <v>344</v>
      </c>
      <c r="F136" s="21">
        <v>36.826693593500003</v>
      </c>
      <c r="G136" s="22">
        <v>3.4302260771400003E-3</v>
      </c>
      <c r="H136" s="22">
        <v>0</v>
      </c>
      <c r="I136" s="22">
        <v>28795730.546799999</v>
      </c>
      <c r="J136" s="22">
        <v>225733.854659</v>
      </c>
      <c r="K136" s="22">
        <f t="shared" si="64"/>
        <v>0.16314209336978477</v>
      </c>
      <c r="L136" s="22">
        <f t="shared" si="65"/>
        <v>0.15195886688426943</v>
      </c>
      <c r="M136" s="22">
        <f t="shared" si="66"/>
        <v>0.12756496180114255</v>
      </c>
      <c r="N136" s="21">
        <v>6.8985559423599998</v>
      </c>
      <c r="O136" s="21">
        <v>29.928137638199999</v>
      </c>
      <c r="P136" s="22">
        <v>6.46968841837E-4</v>
      </c>
      <c r="Q136" s="22">
        <v>2.7832572222299999E-3</v>
      </c>
      <c r="R136" s="23">
        <v>4.0243740407399997</v>
      </c>
      <c r="S136" s="23">
        <v>2.87418198635</v>
      </c>
      <c r="T136" s="23">
        <v>0</v>
      </c>
      <c r="U136" s="23">
        <v>19.483616765800001</v>
      </c>
      <c r="V136" s="23">
        <v>10.444520899400001</v>
      </c>
      <c r="W136" s="23">
        <v>0</v>
      </c>
      <c r="X136" s="22">
        <v>3.5795689715600003E-4</v>
      </c>
      <c r="Y136" s="22">
        <v>2.8901195110499998E-4</v>
      </c>
      <c r="Z136" s="22">
        <v>0</v>
      </c>
      <c r="AA136" s="22">
        <v>1.7330135792200001E-3</v>
      </c>
      <c r="AB136" s="22">
        <v>1.0502436608299998E-3</v>
      </c>
      <c r="AC136" s="22">
        <v>0</v>
      </c>
      <c r="AD136" s="21">
        <v>1.81858768164E-2</v>
      </c>
      <c r="AE136" s="21">
        <v>4.0042909668300002</v>
      </c>
      <c r="AF136" s="21">
        <v>1.8972372194699999E-3</v>
      </c>
      <c r="AG136" s="21">
        <v>7.1833563921400001E-2</v>
      </c>
      <c r="AH136" s="21">
        <v>19.411783153000002</v>
      </c>
      <c r="AI136" s="21">
        <v>0</v>
      </c>
      <c r="AJ136" s="21">
        <v>1.31214793087E-2</v>
      </c>
      <c r="AK136" s="21">
        <v>2.8596795666500001</v>
      </c>
      <c r="AL136" s="21">
        <v>1.3809024887999999E-3</v>
      </c>
      <c r="AM136" s="21">
        <v>3.85075915829E-2</v>
      </c>
      <c r="AN136" s="21">
        <v>10.4060133045</v>
      </c>
      <c r="AO136" s="21">
        <v>0</v>
      </c>
      <c r="AP136" s="22">
        <v>1.31942389601E-6</v>
      </c>
      <c r="AQ136" s="22">
        <v>2.8755366766900002E-4</v>
      </c>
      <c r="AR136" s="22">
        <v>1.38855968308E-7</v>
      </c>
      <c r="AS136" s="22">
        <v>1.6175832186400002E-6</v>
      </c>
      <c r="AT136" s="22">
        <v>3.5617055787200001E-4</v>
      </c>
      <c r="AU136" s="22">
        <v>1.6875398011900001E-7</v>
      </c>
      <c r="AV136" s="22">
        <v>6.3893959793999996E-6</v>
      </c>
      <c r="AW136" s="22">
        <v>1.7266241878599999E-3</v>
      </c>
      <c r="AX136" s="22">
        <v>0</v>
      </c>
      <c r="AY136" s="22">
        <v>3.8721119275299999E-6</v>
      </c>
      <c r="AZ136" s="22">
        <v>1.0463715446499999E-3</v>
      </c>
      <c r="BA136" s="22">
        <v>0</v>
      </c>
      <c r="BB136" s="7">
        <v>1892.9954568400001</v>
      </c>
      <c r="BC136" s="1">
        <v>2.9972428065100001E-2</v>
      </c>
      <c r="BD136" s="9">
        <v>1E-3</v>
      </c>
      <c r="BE136" s="9">
        <v>0.99</v>
      </c>
      <c r="BF136" s="10">
        <v>8.0000000000000002E-3</v>
      </c>
      <c r="BG136" s="11">
        <v>-22.423879345100001</v>
      </c>
      <c r="BH136" s="15">
        <v>222.55555555555554</v>
      </c>
      <c r="BI136" s="20">
        <v>1.6265432098765431</v>
      </c>
      <c r="BJ136" s="15">
        <v>361.99622770919063</v>
      </c>
      <c r="BK136" s="13">
        <f t="shared" si="39"/>
        <v>4335676.8182037231</v>
      </c>
      <c r="BL136" s="13">
        <f t="shared" si="67"/>
        <v>24460053.728596278</v>
      </c>
      <c r="BM136" s="14">
        <v>15.056665470449529</v>
      </c>
      <c r="BN136" s="14">
        <v>84.943334529550469</v>
      </c>
      <c r="BO136" s="16">
        <v>1.9463686943620178</v>
      </c>
      <c r="BP136" s="16">
        <v>0.8164359735220269</v>
      </c>
      <c r="BQ136" s="16">
        <v>2.6490513636363637</v>
      </c>
      <c r="BR136" s="16">
        <v>0.16963836363636364</v>
      </c>
      <c r="BS136" s="16">
        <v>0.10529090909090909</v>
      </c>
      <c r="BT136" s="5">
        <v>58.220909090909089</v>
      </c>
      <c r="BU136" s="5">
        <v>11.946363636363635</v>
      </c>
      <c r="BV136" s="5">
        <v>10.529090909090909</v>
      </c>
      <c r="BW136" s="16">
        <f>BT136*6.87</f>
        <v>399.97764545454544</v>
      </c>
      <c r="BX136" s="16">
        <f>BU136*1.57</f>
        <v>18.755790909090909</v>
      </c>
      <c r="BY136" s="16">
        <f>BV136*0.61</f>
        <v>6.4227454545454545</v>
      </c>
      <c r="BZ136" s="16">
        <v>7.1999999999999998E-3</v>
      </c>
      <c r="CA136" s="16">
        <f t="shared" si="70"/>
        <v>174.56291999999999</v>
      </c>
      <c r="CB136" s="9">
        <f t="shared" si="71"/>
        <v>133.97504512858555</v>
      </c>
      <c r="CC136" s="16">
        <f t="shared" si="72"/>
        <v>1.6195085116221564</v>
      </c>
      <c r="CD136" s="16">
        <f t="shared" si="73"/>
        <v>5.2782275043273987</v>
      </c>
      <c r="CE136" s="17">
        <f t="shared" si="74"/>
        <v>140.87278114453508</v>
      </c>
      <c r="CF136" s="9">
        <f t="shared" si="75"/>
        <v>77.561417484592553</v>
      </c>
      <c r="CG136" s="18">
        <v>1435945.4545454546</v>
      </c>
      <c r="CH136" s="9">
        <f t="shared" si="68"/>
        <v>8.1659135086103465</v>
      </c>
      <c r="CI136" s="9">
        <f t="shared" si="69"/>
        <v>1.1748235128986757</v>
      </c>
      <c r="CJ136" s="5">
        <v>5.1753370795546685</v>
      </c>
      <c r="CK136" s="5">
        <v>8.003046272215677</v>
      </c>
      <c r="CL136" s="5">
        <v>12.764198730550447</v>
      </c>
    </row>
    <row r="137" spans="1:90" x14ac:dyDescent="0.25">
      <c r="A137" s="2" t="s">
        <v>293</v>
      </c>
      <c r="B137" s="1" t="s">
        <v>135</v>
      </c>
      <c r="C137" s="1" t="s">
        <v>324</v>
      </c>
      <c r="D137" s="1" t="s">
        <v>325</v>
      </c>
      <c r="E137" s="1" t="s">
        <v>326</v>
      </c>
      <c r="F137" s="21">
        <v>9.0804596264799997</v>
      </c>
      <c r="G137" s="22">
        <v>2.7451216112200001E-3</v>
      </c>
      <c r="H137" s="22">
        <v>0</v>
      </c>
      <c r="I137" s="22">
        <v>8833941.4577699993</v>
      </c>
      <c r="J137" s="22">
        <v>15647.1995886</v>
      </c>
      <c r="K137" s="22">
        <f t="shared" si="64"/>
        <v>0.58032490574835538</v>
      </c>
      <c r="L137" s="22">
        <f t="shared" si="65"/>
        <v>1.7543852468143879</v>
      </c>
      <c r="M137" s="22">
        <f t="shared" si="66"/>
        <v>0.56457012692584929</v>
      </c>
      <c r="N137" s="21">
        <v>3.18614641465</v>
      </c>
      <c r="O137" s="21">
        <v>5.8943132082399998</v>
      </c>
      <c r="P137" s="22">
        <v>9.7843018189299998E-4</v>
      </c>
      <c r="Q137" s="22">
        <v>1.7666914042400001E-3</v>
      </c>
      <c r="R137" s="23">
        <v>1.0952318519399999</v>
      </c>
      <c r="S137" s="23">
        <v>2.0909145958700002</v>
      </c>
      <c r="T137" s="23">
        <v>0</v>
      </c>
      <c r="U137" s="23">
        <v>2.1566825517899999</v>
      </c>
      <c r="V137" s="23">
        <v>3.7376306405999999</v>
      </c>
      <c r="W137" s="23">
        <v>0</v>
      </c>
      <c r="X137" s="22">
        <v>9.7417827778200009E-5</v>
      </c>
      <c r="Y137" s="22">
        <v>8.8101235006499991E-4</v>
      </c>
      <c r="Z137" s="22">
        <v>0</v>
      </c>
      <c r="AA137" s="22">
        <v>1.91830922054E-4</v>
      </c>
      <c r="AB137" s="22">
        <v>1.5748604829099999E-3</v>
      </c>
      <c r="AC137" s="22">
        <v>0</v>
      </c>
      <c r="AD137" s="21">
        <v>0.27724907643399999</v>
      </c>
      <c r="AE137" s="21">
        <v>0.81798274461499998</v>
      </c>
      <c r="AF137" s="21">
        <v>0</v>
      </c>
      <c r="AG137" s="21">
        <v>0.36373139213599998</v>
      </c>
      <c r="AH137" s="21">
        <v>1.79295116943</v>
      </c>
      <c r="AI137" s="21">
        <v>0</v>
      </c>
      <c r="AJ137" s="21">
        <v>0.53014410272699997</v>
      </c>
      <c r="AK137" s="21">
        <v>1.56077046725</v>
      </c>
      <c r="AL137" s="21">
        <v>0</v>
      </c>
      <c r="AM137" s="21">
        <v>0.63036333457499993</v>
      </c>
      <c r="AN137" s="21">
        <v>3.1072673228500003</v>
      </c>
      <c r="AO137" s="21">
        <v>0</v>
      </c>
      <c r="AP137" s="22">
        <v>2.23377614048E-4</v>
      </c>
      <c r="AQ137" s="22">
        <v>6.5763473879800003E-4</v>
      </c>
      <c r="AR137" s="22">
        <v>0</v>
      </c>
      <c r="AS137" s="22">
        <v>2.4660534923300002E-5</v>
      </c>
      <c r="AT137" s="22">
        <v>7.2757293365100002E-5</v>
      </c>
      <c r="AU137" s="22">
        <v>0</v>
      </c>
      <c r="AV137" s="22">
        <v>3.2352896862899998E-5</v>
      </c>
      <c r="AW137" s="22">
        <v>1.59478026976E-4</v>
      </c>
      <c r="AX137" s="22">
        <v>0</v>
      </c>
      <c r="AY137" s="22">
        <v>2.6560524898E-4</v>
      </c>
      <c r="AZ137" s="22">
        <v>1.3092552371400002E-3</v>
      </c>
      <c r="BA137" s="22">
        <v>0</v>
      </c>
      <c r="BB137" s="7">
        <v>402.22992369500002</v>
      </c>
      <c r="BC137" s="1">
        <v>6.3686404867200003E-3</v>
      </c>
      <c r="BD137" s="9">
        <v>0</v>
      </c>
      <c r="BE137" s="9">
        <v>0.69299999999999995</v>
      </c>
      <c r="BF137" s="10">
        <v>0.307</v>
      </c>
      <c r="BG137" s="11">
        <v>-28.307612610700001</v>
      </c>
      <c r="BH137" s="15">
        <v>347.22222222222223</v>
      </c>
      <c r="BI137" s="20">
        <v>4.3685840707964596</v>
      </c>
      <c r="BJ137" s="15">
        <v>1516.8694690265486</v>
      </c>
      <c r="BK137" s="13">
        <f t="shared" si="39"/>
        <v>1351403.5833389927</v>
      </c>
      <c r="BL137" s="13">
        <f t="shared" si="67"/>
        <v>7482537.8744310047</v>
      </c>
      <c r="BM137" s="14">
        <v>15.297855320858497</v>
      </c>
      <c r="BN137" s="14">
        <v>84.702144679141483</v>
      </c>
      <c r="BO137" s="16">
        <v>108.20165724932248</v>
      </c>
      <c r="BP137" s="16">
        <v>45.386943197831968</v>
      </c>
      <c r="BQ137" s="16">
        <v>6.5893099999999984</v>
      </c>
      <c r="BR137" s="16">
        <v>0.91144636363636355</v>
      </c>
      <c r="BS137" s="16">
        <v>0.79793636363636367</v>
      </c>
      <c r="BT137" s="5">
        <v>144.81999999999996</v>
      </c>
      <c r="BU137" s="5">
        <v>64.186363636363637</v>
      </c>
      <c r="BV137" s="5">
        <v>79.793636363636367</v>
      </c>
      <c r="BW137" s="16">
        <f>BT137*5.66</f>
        <v>819.68119999999988</v>
      </c>
      <c r="BX137" s="16">
        <f t="shared" ref="BX137:BY139" si="76">BU137*1.36</f>
        <v>87.293454545454551</v>
      </c>
      <c r="BY137" s="16">
        <f t="shared" si="76"/>
        <v>108.51934545454547</v>
      </c>
      <c r="BZ137" s="16">
        <v>7.1999999999999998E-3</v>
      </c>
      <c r="CA137" s="16">
        <f t="shared" si="70"/>
        <v>434.21173714285703</v>
      </c>
      <c r="CB137" s="9">
        <f t="shared" si="71"/>
        <v>7447.880740661697</v>
      </c>
      <c r="CC137" s="16">
        <f t="shared" si="72"/>
        <v>90.030992275252942</v>
      </c>
      <c r="CD137" s="16">
        <f t="shared" si="73"/>
        <v>293.42486085062103</v>
      </c>
      <c r="CE137" s="17">
        <f t="shared" si="74"/>
        <v>7831.3365937875715</v>
      </c>
      <c r="CF137" s="9">
        <f t="shared" si="75"/>
        <v>4311.7596037940366</v>
      </c>
      <c r="CG137" s="18">
        <v>211630.90909090909</v>
      </c>
      <c r="CH137" s="9">
        <f t="shared" si="68"/>
        <v>34.260355024770547</v>
      </c>
      <c r="CI137" s="9">
        <f t="shared" si="69"/>
        <v>2.8766570305384063</v>
      </c>
      <c r="CJ137" s="5">
        <v>28.091557395007715</v>
      </c>
      <c r="CK137" s="5">
        <v>17.664850078934759</v>
      </c>
      <c r="CL137" s="5">
        <v>40.794075975276442</v>
      </c>
    </row>
    <row r="138" spans="1:90" x14ac:dyDescent="0.25">
      <c r="A138" s="2" t="s">
        <v>294</v>
      </c>
      <c r="B138" s="1" t="s">
        <v>136</v>
      </c>
      <c r="C138" s="1" t="s">
        <v>324</v>
      </c>
      <c r="D138" s="1" t="s">
        <v>349</v>
      </c>
      <c r="E138" s="1" t="s">
        <v>326</v>
      </c>
      <c r="F138" s="21">
        <v>91.861192557799995</v>
      </c>
      <c r="G138" s="22">
        <v>5.1335888119600007E-3</v>
      </c>
      <c r="H138" s="22">
        <v>4.1235212236599999E-8</v>
      </c>
      <c r="I138" s="22">
        <v>61647050.634900004</v>
      </c>
      <c r="J138" s="22">
        <v>179099.24731499999</v>
      </c>
      <c r="K138" s="22">
        <f t="shared" si="64"/>
        <v>0.51290663659928404</v>
      </c>
      <c r="L138" s="22">
        <f t="shared" si="65"/>
        <v>0.28663374575388573</v>
      </c>
      <c r="M138" s="22">
        <f t="shared" si="66"/>
        <v>0.34420608438669259</v>
      </c>
      <c r="N138" s="21">
        <v>35.140178394899998</v>
      </c>
      <c r="O138" s="21">
        <v>56.721013957700002</v>
      </c>
      <c r="P138" s="22">
        <v>1.9582511973600001E-3</v>
      </c>
      <c r="Q138" s="22">
        <v>3.1753376055700003E-3</v>
      </c>
      <c r="R138" s="23">
        <v>20.313415302199999</v>
      </c>
      <c r="S138" s="23">
        <v>14.8267630734</v>
      </c>
      <c r="T138" s="23">
        <v>0</v>
      </c>
      <c r="U138" s="23">
        <v>32.972194760100002</v>
      </c>
      <c r="V138" s="23">
        <v>23.748819191799999</v>
      </c>
      <c r="W138" s="23">
        <v>0</v>
      </c>
      <c r="X138" s="22">
        <v>1.80682186811E-3</v>
      </c>
      <c r="Y138" s="22">
        <v>1.5142934314900001E-4</v>
      </c>
      <c r="Z138" s="22">
        <v>0</v>
      </c>
      <c r="AA138" s="22">
        <v>2.93278513933E-3</v>
      </c>
      <c r="AB138" s="22">
        <v>2.4255247456800001E-4</v>
      </c>
      <c r="AC138" s="22">
        <v>0</v>
      </c>
      <c r="AD138" s="21">
        <v>0</v>
      </c>
      <c r="AE138" s="21">
        <v>20.313415293699997</v>
      </c>
      <c r="AF138" s="21">
        <v>0</v>
      </c>
      <c r="AG138" s="21">
        <v>0</v>
      </c>
      <c r="AH138" s="21">
        <v>32.972194789999996</v>
      </c>
      <c r="AI138" s="21">
        <v>0</v>
      </c>
      <c r="AJ138" s="21">
        <v>0</v>
      </c>
      <c r="AK138" s="21">
        <v>14.826763076899999</v>
      </c>
      <c r="AL138" s="21">
        <v>0</v>
      </c>
      <c r="AM138" s="21">
        <v>0</v>
      </c>
      <c r="AN138" s="21">
        <v>23.748819188599999</v>
      </c>
      <c r="AO138" s="21">
        <v>0</v>
      </c>
      <c r="AP138" s="22">
        <v>0</v>
      </c>
      <c r="AQ138" s="22">
        <v>1.51429343004E-4</v>
      </c>
      <c r="AR138" s="22">
        <v>0</v>
      </c>
      <c r="AS138" s="22">
        <v>0</v>
      </c>
      <c r="AT138" s="22">
        <v>1.8068218631600002E-3</v>
      </c>
      <c r="AU138" s="22">
        <v>0</v>
      </c>
      <c r="AV138" s="22">
        <v>0</v>
      </c>
      <c r="AW138" s="22">
        <v>2.9327851354000001E-3</v>
      </c>
      <c r="AX138" s="22">
        <v>0</v>
      </c>
      <c r="AY138" s="22">
        <v>0</v>
      </c>
      <c r="AZ138" s="22">
        <v>2.4255247446000001E-4</v>
      </c>
      <c r="BA138" s="22">
        <v>0</v>
      </c>
      <c r="BB138" s="7">
        <v>2177.4411361699999</v>
      </c>
      <c r="BC138" s="1">
        <v>3.4476151388600003E-2</v>
      </c>
      <c r="BD138" s="9">
        <v>0</v>
      </c>
      <c r="BE138" s="9">
        <v>1</v>
      </c>
      <c r="BF138" s="10">
        <v>0</v>
      </c>
      <c r="BG138" s="11">
        <v>-14.121308323299999</v>
      </c>
      <c r="BH138" s="15">
        <v>23.111111111111111</v>
      </c>
      <c r="BI138" s="20">
        <v>1.5909090909090908</v>
      </c>
      <c r="BJ138" s="15">
        <v>36.767676767676768</v>
      </c>
      <c r="BK138" s="13">
        <f t="shared" ref="BK138:BK160" si="77">I138*BM138*0.01</f>
        <v>20032211.205763247</v>
      </c>
      <c r="BL138" s="13">
        <f t="shared" si="67"/>
        <v>41614839.429136761</v>
      </c>
      <c r="BM138" s="14">
        <v>32.495003409656206</v>
      </c>
      <c r="BN138" s="14">
        <v>67.504996590343794</v>
      </c>
      <c r="BO138" s="16">
        <v>8.2003089598352208</v>
      </c>
      <c r="BP138" s="16">
        <v>3.4397528321318225</v>
      </c>
      <c r="BQ138" s="16">
        <v>2.9900531818181815</v>
      </c>
      <c r="BR138" s="16">
        <v>0.17245254545454544</v>
      </c>
      <c r="BS138" s="16">
        <v>0.14421818181818183</v>
      </c>
      <c r="BT138" s="16">
        <v>65.715454545454548</v>
      </c>
      <c r="BU138" s="16">
        <v>12.144545454545455</v>
      </c>
      <c r="BV138" s="16">
        <v>14.421818181818184</v>
      </c>
      <c r="BW138" s="16">
        <f>BT138*5.66</f>
        <v>371.94947272727273</v>
      </c>
      <c r="BX138" s="16">
        <f t="shared" si="76"/>
        <v>16.51658181818182</v>
      </c>
      <c r="BY138" s="16">
        <f t="shared" si="76"/>
        <v>19.613672727272732</v>
      </c>
      <c r="BZ138" s="16">
        <v>7.1999999999999998E-3</v>
      </c>
      <c r="CA138" s="16">
        <f t="shared" si="70"/>
        <v>197.03370857142858</v>
      </c>
      <c r="CB138" s="9">
        <f t="shared" si="71"/>
        <v>564.45460006865767</v>
      </c>
      <c r="CC138" s="16">
        <f t="shared" si="72"/>
        <v>6.8232037418468927</v>
      </c>
      <c r="CD138" s="16">
        <f t="shared" si="73"/>
        <v>22.23787118091315</v>
      </c>
      <c r="CE138" s="17">
        <f t="shared" si="74"/>
        <v>593.51567499141777</v>
      </c>
      <c r="CF138" s="9">
        <f t="shared" si="75"/>
        <v>326.77651905252316</v>
      </c>
      <c r="CG138" s="18">
        <v>2643399.9999999995</v>
      </c>
      <c r="CH138" s="9">
        <f t="shared" si="68"/>
        <v>39.510333322176585</v>
      </c>
      <c r="CI138" s="9">
        <f t="shared" si="69"/>
        <v>4.0322572420461942</v>
      </c>
      <c r="CJ138" s="5">
        <v>0</v>
      </c>
      <c r="CK138" s="5">
        <v>15.342959878254611</v>
      </c>
      <c r="CL138" s="5">
        <v>15.342959878254614</v>
      </c>
    </row>
    <row r="139" spans="1:90" x14ac:dyDescent="0.25">
      <c r="A139" s="2" t="s">
        <v>295</v>
      </c>
      <c r="B139" s="1" t="s">
        <v>137</v>
      </c>
      <c r="C139" s="1" t="s">
        <v>327</v>
      </c>
      <c r="D139" s="1" t="s">
        <v>345</v>
      </c>
      <c r="E139" s="1" t="s">
        <v>331</v>
      </c>
      <c r="F139" s="21">
        <v>1.5392670175099999E-2</v>
      </c>
      <c r="G139" s="22">
        <v>1.36913526058E-6</v>
      </c>
      <c r="H139" s="22">
        <v>0</v>
      </c>
      <c r="I139" s="22">
        <v>17303.7602539</v>
      </c>
      <c r="J139" s="22">
        <v>153.335113525</v>
      </c>
      <c r="K139" s="22">
        <f t="shared" si="64"/>
        <v>0.10038581392898212</v>
      </c>
      <c r="L139" s="22">
        <f t="shared" si="65"/>
        <v>8.9290393381211669E-2</v>
      </c>
      <c r="M139" s="22">
        <f t="shared" si="66"/>
        <v>0.1128493001772798</v>
      </c>
      <c r="N139" s="21">
        <v>0</v>
      </c>
      <c r="O139" s="21">
        <v>1.5392670175099999E-2</v>
      </c>
      <c r="P139" s="22">
        <v>0</v>
      </c>
      <c r="Q139" s="22">
        <v>1.36913526058E-6</v>
      </c>
      <c r="R139" s="23">
        <v>0</v>
      </c>
      <c r="S139" s="23">
        <v>0</v>
      </c>
      <c r="T139" s="23">
        <v>0</v>
      </c>
      <c r="U139" s="23">
        <v>1.5392670175099999E-2</v>
      </c>
      <c r="V139" s="23">
        <v>0</v>
      </c>
      <c r="W139" s="23">
        <v>0</v>
      </c>
      <c r="X139" s="22">
        <v>0</v>
      </c>
      <c r="Y139" s="22">
        <v>0</v>
      </c>
      <c r="Z139" s="22">
        <v>0</v>
      </c>
      <c r="AA139" s="22">
        <v>1.36913526058E-6</v>
      </c>
      <c r="AB139" s="22">
        <v>0</v>
      </c>
      <c r="AC139" s="22">
        <v>0</v>
      </c>
      <c r="AD139" s="21">
        <v>0</v>
      </c>
      <c r="AE139" s="21">
        <v>0</v>
      </c>
      <c r="AF139" s="21">
        <v>0</v>
      </c>
      <c r="AG139" s="21">
        <v>1.07093764648E-2</v>
      </c>
      <c r="AH139" s="21">
        <v>4.6832937011699995E-3</v>
      </c>
      <c r="AI139" s="21">
        <v>0</v>
      </c>
      <c r="AJ139" s="21">
        <v>0</v>
      </c>
      <c r="AK139" s="21">
        <v>0</v>
      </c>
      <c r="AL139" s="21">
        <v>0</v>
      </c>
      <c r="AM139" s="21">
        <v>0</v>
      </c>
      <c r="AN139" s="21">
        <v>0</v>
      </c>
      <c r="AO139" s="21">
        <v>0</v>
      </c>
      <c r="AP139" s="22">
        <v>0</v>
      </c>
      <c r="AQ139" s="22">
        <v>0</v>
      </c>
      <c r="AR139" s="22">
        <v>0</v>
      </c>
      <c r="AS139" s="22">
        <v>0</v>
      </c>
      <c r="AT139" s="22">
        <v>0</v>
      </c>
      <c r="AU139" s="22">
        <v>0</v>
      </c>
      <c r="AV139" s="22">
        <v>9.5256929687499996E-7</v>
      </c>
      <c r="AW139" s="22">
        <v>4.1656596874999999E-7</v>
      </c>
      <c r="AX139" s="22">
        <v>0</v>
      </c>
      <c r="AY139" s="22">
        <v>0</v>
      </c>
      <c r="AZ139" s="22">
        <v>0</v>
      </c>
      <c r="BA139" s="22">
        <v>0</v>
      </c>
      <c r="BB139" s="7">
        <v>0</v>
      </c>
      <c r="BC139" s="1">
        <v>0</v>
      </c>
      <c r="BD139" s="9">
        <v>7.6999999999999999E-2</v>
      </c>
      <c r="BE139" s="9">
        <v>0.154</v>
      </c>
      <c r="BF139" s="10">
        <v>0.76900000000000002</v>
      </c>
      <c r="BG139" s="11">
        <v>0</v>
      </c>
      <c r="BH139" s="12">
        <v>709.97827270000005</v>
      </c>
      <c r="BI139" s="20">
        <v>1</v>
      </c>
      <c r="BJ139" s="15">
        <v>709.97827270000005</v>
      </c>
      <c r="BK139" s="13">
        <f t="shared" si="77"/>
        <v>0</v>
      </c>
      <c r="BL139" s="13">
        <f t="shared" si="67"/>
        <v>17303.7602539</v>
      </c>
      <c r="BM139" s="14">
        <v>0</v>
      </c>
      <c r="BN139" s="14">
        <v>100</v>
      </c>
      <c r="BO139" s="16">
        <v>0</v>
      </c>
      <c r="BP139" s="16">
        <v>0</v>
      </c>
      <c r="BQ139" s="16">
        <v>0.17039750000000001</v>
      </c>
      <c r="BR139" s="16">
        <v>2.9500500000000002E-2</v>
      </c>
      <c r="BS139" s="16">
        <v>3.2780000000000004E-2</v>
      </c>
      <c r="BT139" s="16">
        <v>3.7450000000000001</v>
      </c>
      <c r="BU139" s="16">
        <v>2.0774999999999997</v>
      </c>
      <c r="BV139" s="16">
        <v>3.278</v>
      </c>
      <c r="BW139" s="16">
        <f>BT139*5.66</f>
        <v>21.1967</v>
      </c>
      <c r="BX139" s="16">
        <f t="shared" si="76"/>
        <v>2.8253999999999997</v>
      </c>
      <c r="BY139" s="16">
        <f t="shared" si="76"/>
        <v>4.4580800000000007</v>
      </c>
      <c r="BZ139" s="16">
        <v>2.96E-3</v>
      </c>
      <c r="CA139" s="16">
        <f t="shared" si="70"/>
        <v>4.6161940000000001</v>
      </c>
      <c r="CB139" s="9">
        <f t="shared" si="71"/>
        <v>0</v>
      </c>
      <c r="CC139" s="16">
        <f t="shared" si="72"/>
        <v>0</v>
      </c>
      <c r="CD139" s="16">
        <f t="shared" si="73"/>
        <v>0</v>
      </c>
      <c r="CE139" s="17">
        <f t="shared" si="74"/>
        <v>0</v>
      </c>
      <c r="CF139" s="9">
        <f t="shared" si="75"/>
        <v>0</v>
      </c>
      <c r="CG139" s="18">
        <v>3572.7272727272725</v>
      </c>
      <c r="CH139" s="9">
        <f t="shared" si="68"/>
        <v>8.312950363636364E-4</v>
      </c>
      <c r="CI139" s="9">
        <f t="shared" si="69"/>
        <v>1.182443180181818E-4</v>
      </c>
      <c r="CJ139" s="5">
        <v>68.15550726769068</v>
      </c>
      <c r="CK139" s="5">
        <v>0</v>
      </c>
      <c r="CL139" s="5">
        <v>68.15550726769068</v>
      </c>
    </row>
    <row r="140" spans="1:90" x14ac:dyDescent="0.25">
      <c r="A140" s="2" t="s">
        <v>296</v>
      </c>
      <c r="B140" s="1" t="s">
        <v>138</v>
      </c>
      <c r="C140" s="1" t="s">
        <v>321</v>
      </c>
      <c r="D140" s="1" t="s">
        <v>335</v>
      </c>
      <c r="E140" s="1" t="s">
        <v>329</v>
      </c>
      <c r="F140" s="21">
        <v>19672.589412599998</v>
      </c>
      <c r="G140" s="22">
        <v>2.0241344765</v>
      </c>
      <c r="H140" s="22">
        <v>0.13932971655000001</v>
      </c>
      <c r="I140" s="22">
        <v>13063169225.5</v>
      </c>
      <c r="J140" s="22">
        <v>1484704.4696200001</v>
      </c>
      <c r="K140" s="22">
        <f t="shared" si="64"/>
        <v>13.250171879414536</v>
      </c>
      <c r="L140" s="22">
        <f t="shared" si="65"/>
        <v>13.633248352906646</v>
      </c>
      <c r="M140" s="22">
        <f t="shared" si="66"/>
        <v>8.7984979454149741</v>
      </c>
      <c r="N140" s="21">
        <v>18214.048407400001</v>
      </c>
      <c r="O140" s="21">
        <v>1458.54090178</v>
      </c>
      <c r="P140" s="22">
        <v>1.87393785911</v>
      </c>
      <c r="Q140" s="22">
        <v>0.15019661411299998</v>
      </c>
      <c r="R140" s="23">
        <v>15011.419883299999</v>
      </c>
      <c r="S140" s="23">
        <v>3202.62856951</v>
      </c>
      <c r="T140" s="23">
        <v>0</v>
      </c>
      <c r="U140" s="23">
        <v>1200.36821414</v>
      </c>
      <c r="V140" s="23">
        <v>258.17268612499998</v>
      </c>
      <c r="W140" s="23">
        <v>0</v>
      </c>
      <c r="X140" s="22">
        <v>1.3352241010499999</v>
      </c>
      <c r="Y140" s="22">
        <v>0.53871375862400006</v>
      </c>
      <c r="Z140" s="22">
        <v>0</v>
      </c>
      <c r="AA140" s="22">
        <v>0.10676941838200001</v>
      </c>
      <c r="AB140" s="22">
        <v>4.3427195622400001E-2</v>
      </c>
      <c r="AC140" s="22">
        <v>0</v>
      </c>
      <c r="AD140" s="21">
        <v>1074.1434142799999</v>
      </c>
      <c r="AE140" s="21">
        <v>2614.1431110399999</v>
      </c>
      <c r="AF140" s="21">
        <v>11323.1333405</v>
      </c>
      <c r="AG140" s="21">
        <v>256.305577551</v>
      </c>
      <c r="AH140" s="21">
        <v>944.06263627099997</v>
      </c>
      <c r="AI140" s="21">
        <v>0</v>
      </c>
      <c r="AJ140" s="21">
        <v>238.53775116</v>
      </c>
      <c r="AK140" s="21">
        <v>567.49713021000002</v>
      </c>
      <c r="AL140" s="21">
        <v>2396.5936985500002</v>
      </c>
      <c r="AM140" s="21">
        <v>55.125667964400002</v>
      </c>
      <c r="AN140" s="21">
        <v>203.04701835100002</v>
      </c>
      <c r="AO140" s="21">
        <v>0</v>
      </c>
      <c r="AP140" s="22">
        <v>4.0124405727899999E-2</v>
      </c>
      <c r="AQ140" s="22">
        <v>9.5458622238500004E-2</v>
      </c>
      <c r="AR140" s="22">
        <v>0.40313073123900001</v>
      </c>
      <c r="AS140" s="22">
        <v>9.5542073046600007E-2</v>
      </c>
      <c r="AT140" s="22">
        <v>0.23252076817799999</v>
      </c>
      <c r="AU140" s="22">
        <v>1.00716125795</v>
      </c>
      <c r="AV140" s="22">
        <v>2.2797669160400002E-2</v>
      </c>
      <c r="AW140" s="22">
        <v>8.3971749157200001E-2</v>
      </c>
      <c r="AX140" s="22">
        <v>0</v>
      </c>
      <c r="AY140" s="22">
        <v>9.2726817958899994E-3</v>
      </c>
      <c r="AZ140" s="22">
        <v>3.4154513835799996E-2</v>
      </c>
      <c r="BA140" s="22">
        <v>0</v>
      </c>
      <c r="BB140" s="7">
        <v>554.32943117599996</v>
      </c>
      <c r="BC140" s="1">
        <v>1.95555106792E-2</v>
      </c>
      <c r="BD140" s="9">
        <v>0.77800000000000002</v>
      </c>
      <c r="BE140" s="9">
        <v>0.14000000000000001</v>
      </c>
      <c r="BF140" s="10">
        <v>8.3000000000000004E-2</v>
      </c>
      <c r="BG140" s="11">
        <v>-23.1894555107</v>
      </c>
      <c r="BH140" s="15">
        <v>605.55555555555554</v>
      </c>
      <c r="BI140" s="20">
        <v>1</v>
      </c>
      <c r="BJ140" s="15">
        <v>605.55555555555554</v>
      </c>
      <c r="BK140" s="13">
        <f t="shared" si="77"/>
        <v>7972009919.2984238</v>
      </c>
      <c r="BL140" s="13">
        <f t="shared" si="67"/>
        <v>5091159306.2015753</v>
      </c>
      <c r="BM140" s="14">
        <v>61.026614458432014</v>
      </c>
      <c r="BN140" s="14">
        <v>38.973385541567986</v>
      </c>
      <c r="BO140" s="16">
        <v>2.3568619964973729</v>
      </c>
      <c r="BP140" s="16">
        <v>0.86504605146167313</v>
      </c>
      <c r="BQ140" s="16">
        <v>1.8790672727272726</v>
      </c>
      <c r="BR140" s="16">
        <v>0.25965345454545458</v>
      </c>
      <c r="BS140" s="16">
        <v>1.4809090909090909E-2</v>
      </c>
      <c r="BT140" s="5">
        <v>41.298181818181824</v>
      </c>
      <c r="BU140" s="5">
        <v>18.285454545454545</v>
      </c>
      <c r="BV140" s="5">
        <v>1.4809090909090907</v>
      </c>
      <c r="BW140" s="16">
        <f>BT140*4</f>
        <v>165.1927272727273</v>
      </c>
      <c r="BX140" s="16">
        <f>BU140*1.29</f>
        <v>23.588236363636366</v>
      </c>
      <c r="BY140" s="16">
        <f>BV140*1.47</f>
        <v>2.1769363636363632</v>
      </c>
      <c r="BZ140" s="16">
        <v>8.5599999999999999E-3</v>
      </c>
      <c r="CA140" s="16">
        <f t="shared" si="70"/>
        <v>147.21267885714286</v>
      </c>
      <c r="CB140" s="9">
        <f t="shared" si="71"/>
        <v>162.23066742556915</v>
      </c>
      <c r="CC140" s="16">
        <f t="shared" si="72"/>
        <v>1.9610663052189143</v>
      </c>
      <c r="CD140" s="16">
        <f t="shared" si="73"/>
        <v>6.3914169241681265</v>
      </c>
      <c r="CE140" s="17">
        <f t="shared" si="74"/>
        <v>170.58315065495617</v>
      </c>
      <c r="CF140" s="9">
        <f t="shared" si="75"/>
        <v>82.179374888858945</v>
      </c>
      <c r="CG140" s="18">
        <v>5562272.7272727266</v>
      </c>
      <c r="CH140" s="9">
        <f t="shared" si="68"/>
        <v>29.899651439984428</v>
      </c>
      <c r="CI140" s="9">
        <f t="shared" si="69"/>
        <v>3.2869310902520552</v>
      </c>
      <c r="CJ140" s="5">
        <v>49.747332113081342</v>
      </c>
      <c r="CK140" s="5">
        <v>33.391691020701465</v>
      </c>
      <c r="CL140" s="5">
        <v>66.527547703540478</v>
      </c>
    </row>
    <row r="141" spans="1:90" x14ac:dyDescent="0.25">
      <c r="A141" s="2" t="s">
        <v>297</v>
      </c>
      <c r="B141" s="1" t="s">
        <v>139</v>
      </c>
      <c r="C141" s="1" t="s">
        <v>327</v>
      </c>
      <c r="D141" s="1" t="s">
        <v>330</v>
      </c>
      <c r="E141" s="1" t="s">
        <v>331</v>
      </c>
      <c r="F141" s="21">
        <v>407.29437447100003</v>
      </c>
      <c r="G141" s="22">
        <v>3.6813914116400004E-2</v>
      </c>
      <c r="H141" s="22">
        <v>0</v>
      </c>
      <c r="I141" s="22">
        <v>745998870.95099998</v>
      </c>
      <c r="J141" s="22">
        <v>30159.276886</v>
      </c>
      <c r="K141" s="22">
        <f t="shared" si="64"/>
        <v>13.504779176587849</v>
      </c>
      <c r="L141" s="22">
        <f t="shared" si="65"/>
        <v>12.20649760786841</v>
      </c>
      <c r="M141" s="22">
        <f t="shared" si="66"/>
        <v>24.73530362716668</v>
      </c>
      <c r="N141" s="21">
        <v>278.13508655599998</v>
      </c>
      <c r="O141" s="21">
        <v>129.15928638099999</v>
      </c>
      <c r="P141" s="22">
        <v>2.5139311016100001E-2</v>
      </c>
      <c r="Q141" s="22">
        <v>1.1674603170899999E-2</v>
      </c>
      <c r="R141" s="23">
        <v>273.80906968699998</v>
      </c>
      <c r="S141" s="23">
        <v>4.32601706169</v>
      </c>
      <c r="T141" s="23">
        <v>0</v>
      </c>
      <c r="U141" s="23">
        <v>127.144892977</v>
      </c>
      <c r="V141" s="23">
        <v>2.0143935019399999</v>
      </c>
      <c r="W141" s="23">
        <v>0</v>
      </c>
      <c r="X141" s="22">
        <v>2.4354556162100003E-2</v>
      </c>
      <c r="Y141" s="22">
        <v>7.8475489621500003E-4</v>
      </c>
      <c r="Z141" s="22">
        <v>0</v>
      </c>
      <c r="AA141" s="22">
        <v>1.1309185083899999E-2</v>
      </c>
      <c r="AB141" s="22">
        <v>3.6541815205400004E-4</v>
      </c>
      <c r="AC141" s="22">
        <v>0</v>
      </c>
      <c r="AD141" s="21">
        <v>0</v>
      </c>
      <c r="AE141" s="21">
        <v>51.084371470200004</v>
      </c>
      <c r="AF141" s="21">
        <v>222.72469771900001</v>
      </c>
      <c r="AG141" s="21">
        <v>0</v>
      </c>
      <c r="AH141" s="21">
        <v>127.144892974</v>
      </c>
      <c r="AI141" s="21">
        <v>0</v>
      </c>
      <c r="AJ141" s="21">
        <v>0</v>
      </c>
      <c r="AK141" s="21">
        <v>0.80820988150000006</v>
      </c>
      <c r="AL141" s="21">
        <v>3.5178071685900001</v>
      </c>
      <c r="AM141" s="21">
        <v>0</v>
      </c>
      <c r="AN141" s="21">
        <v>2.0143934994700001</v>
      </c>
      <c r="AO141" s="21">
        <v>0</v>
      </c>
      <c r="AP141" s="22">
        <v>0</v>
      </c>
      <c r="AQ141" s="22">
        <v>1.4661215005500001E-4</v>
      </c>
      <c r="AR141" s="22">
        <v>6.3814274793700006E-4</v>
      </c>
      <c r="AS141" s="22">
        <v>0</v>
      </c>
      <c r="AT141" s="22">
        <v>4.5438129356899998E-3</v>
      </c>
      <c r="AU141" s="22">
        <v>1.9810743192700001E-2</v>
      </c>
      <c r="AV141" s="22">
        <v>0</v>
      </c>
      <c r="AW141" s="22">
        <v>1.13091850471E-2</v>
      </c>
      <c r="AX141" s="22">
        <v>0</v>
      </c>
      <c r="AY141" s="22">
        <v>0</v>
      </c>
      <c r="AZ141" s="22">
        <v>3.6541815202200003E-4</v>
      </c>
      <c r="BA141" s="22">
        <v>0</v>
      </c>
      <c r="BB141" s="7">
        <v>2477.2977940400001</v>
      </c>
      <c r="BC141" s="1">
        <v>8.3952869833699997E-2</v>
      </c>
      <c r="BD141" s="9">
        <v>0.876</v>
      </c>
      <c r="BE141" s="9">
        <v>0.124</v>
      </c>
      <c r="BF141" s="10">
        <v>0</v>
      </c>
      <c r="BG141" s="11">
        <v>-26.168578413999999</v>
      </c>
      <c r="BH141" s="12">
        <v>653.05281820000005</v>
      </c>
      <c r="BI141" s="20">
        <v>1</v>
      </c>
      <c r="BJ141" s="15">
        <v>653.05281820000005</v>
      </c>
      <c r="BK141" s="13">
        <f t="shared" si="77"/>
        <v>139088291.01556388</v>
      </c>
      <c r="BL141" s="13">
        <f t="shared" si="67"/>
        <v>606910579.93543613</v>
      </c>
      <c r="BM141" s="14">
        <v>18.644571249585674</v>
      </c>
      <c r="BN141" s="14">
        <v>81.355428750414333</v>
      </c>
      <c r="BO141" s="16" t="s">
        <v>390</v>
      </c>
      <c r="BP141" s="16" t="s">
        <v>392</v>
      </c>
      <c r="BQ141" s="16" t="s">
        <v>390</v>
      </c>
      <c r="BR141" s="16" t="s">
        <v>390</v>
      </c>
      <c r="BS141" s="16" t="s">
        <v>390</v>
      </c>
      <c r="BT141" s="16" t="s">
        <v>390</v>
      </c>
      <c r="BU141" s="16" t="s">
        <v>390</v>
      </c>
      <c r="BV141" s="16" t="s">
        <v>390</v>
      </c>
      <c r="BW141" s="16" t="s">
        <v>391</v>
      </c>
      <c r="BX141" s="16" t="s">
        <v>390</v>
      </c>
      <c r="BY141" s="16" t="s">
        <v>390</v>
      </c>
      <c r="BZ141" s="16" t="s">
        <v>390</v>
      </c>
      <c r="CA141" s="16" t="s">
        <v>393</v>
      </c>
      <c r="CB141" s="16" t="s">
        <v>390</v>
      </c>
      <c r="CC141" s="16" t="s">
        <v>390</v>
      </c>
      <c r="CD141" s="16" t="s">
        <v>391</v>
      </c>
      <c r="CE141" s="16" t="s">
        <v>390</v>
      </c>
      <c r="CF141" s="16" t="s">
        <v>390</v>
      </c>
      <c r="CG141" s="18">
        <v>3903818.1818181821</v>
      </c>
      <c r="CH141" s="9" t="s">
        <v>447</v>
      </c>
      <c r="CI141" s="9" t="s">
        <v>447</v>
      </c>
      <c r="CJ141" s="5">
        <v>66.008557312896983</v>
      </c>
      <c r="CK141" s="5">
        <v>0</v>
      </c>
      <c r="CL141" s="5">
        <v>66.008557312896983</v>
      </c>
    </row>
    <row r="142" spans="1:90" x14ac:dyDescent="0.25">
      <c r="A142" s="2" t="s">
        <v>298</v>
      </c>
      <c r="B142" s="1" t="s">
        <v>140</v>
      </c>
      <c r="C142" s="1" t="s">
        <v>327</v>
      </c>
      <c r="D142" s="1" t="s">
        <v>340</v>
      </c>
      <c r="E142" s="1" t="s">
        <v>331</v>
      </c>
      <c r="F142" s="21">
        <v>20.384460584500001</v>
      </c>
      <c r="G142" s="22">
        <v>1.83343518761E-3</v>
      </c>
      <c r="H142" s="22">
        <v>4.9612495303199994E-7</v>
      </c>
      <c r="I142" s="22">
        <v>67092840.475100003</v>
      </c>
      <c r="J142" s="22">
        <v>7311.8826269499996</v>
      </c>
      <c r="K142" s="22">
        <f t="shared" si="64"/>
        <v>2.7878539118458137</v>
      </c>
      <c r="L142" s="22">
        <f t="shared" si="65"/>
        <v>2.5074734936969025</v>
      </c>
      <c r="M142" s="22">
        <f t="shared" si="66"/>
        <v>9.1758639871775944</v>
      </c>
      <c r="N142" s="21">
        <v>1.06067483558</v>
      </c>
      <c r="O142" s="21">
        <v>19.323785690000001</v>
      </c>
      <c r="P142" s="22">
        <v>9.5432603868800007E-5</v>
      </c>
      <c r="Q142" s="22">
        <v>1.7380025916199999E-3</v>
      </c>
      <c r="R142" s="23">
        <v>0.88638384067499998</v>
      </c>
      <c r="S142" s="23">
        <v>0.17429098999699999</v>
      </c>
      <c r="T142" s="23">
        <v>0</v>
      </c>
      <c r="U142" s="23">
        <v>16.248657378800001</v>
      </c>
      <c r="V142" s="23">
        <v>3.0751283093000001</v>
      </c>
      <c r="W142" s="23">
        <v>0</v>
      </c>
      <c r="X142" s="22">
        <v>7.8841380156499988E-5</v>
      </c>
      <c r="Y142" s="22">
        <v>1.6591223066300001E-5</v>
      </c>
      <c r="Z142" s="22">
        <v>0</v>
      </c>
      <c r="AA142" s="22">
        <v>1.4452729400300001E-3</v>
      </c>
      <c r="AB142" s="22">
        <v>2.9272964628300003E-4</v>
      </c>
      <c r="AC142" s="22">
        <v>0</v>
      </c>
      <c r="AD142" s="21">
        <v>2.7150116166200001E-3</v>
      </c>
      <c r="AE142" s="21">
        <v>0.26611026953799999</v>
      </c>
      <c r="AF142" s="21">
        <v>0.61755856136199994</v>
      </c>
      <c r="AG142" s="21">
        <v>0.115437857903</v>
      </c>
      <c r="AH142" s="21">
        <v>16.133219494599999</v>
      </c>
      <c r="AI142" s="21">
        <v>0</v>
      </c>
      <c r="AJ142" s="21">
        <v>5.3395145717699999E-4</v>
      </c>
      <c r="AK142" s="21">
        <v>5.2082273646499998E-2</v>
      </c>
      <c r="AL142" s="21">
        <v>0.12167476349799999</v>
      </c>
      <c r="AM142" s="21">
        <v>2.1847111344300001E-2</v>
      </c>
      <c r="AN142" s="21">
        <v>3.0532812009499999</v>
      </c>
      <c r="AO142" s="21">
        <v>0</v>
      </c>
      <c r="AP142" s="22">
        <v>5.0828260164699998E-8</v>
      </c>
      <c r="AQ142" s="22">
        <v>4.9578502304200001E-6</v>
      </c>
      <c r="AR142" s="22">
        <v>1.1582544610400001E-5</v>
      </c>
      <c r="AS142" s="22">
        <v>2.4149274110300002E-7</v>
      </c>
      <c r="AT142" s="22">
        <v>2.3669769240200001E-5</v>
      </c>
      <c r="AU142" s="22">
        <v>5.4930118612599998E-5</v>
      </c>
      <c r="AV142" s="22">
        <v>1.02678768025E-5</v>
      </c>
      <c r="AW142" s="22">
        <v>1.4350050606600001E-3</v>
      </c>
      <c r="AX142" s="22">
        <v>0</v>
      </c>
      <c r="AY142" s="22">
        <v>2.0796846623500002E-6</v>
      </c>
      <c r="AZ142" s="22">
        <v>2.9064996196899998E-4</v>
      </c>
      <c r="BA142" s="22">
        <v>0</v>
      </c>
      <c r="BB142" s="7">
        <v>517.13561241299999</v>
      </c>
      <c r="BC142" s="1">
        <v>1.7525151295200003E-2</v>
      </c>
      <c r="BD142" s="9">
        <v>0.80400000000000005</v>
      </c>
      <c r="BE142" s="9">
        <v>0.192</v>
      </c>
      <c r="BF142" s="10">
        <v>3.0000000000000001E-3</v>
      </c>
      <c r="BG142" s="11">
        <v>-16.9585590256</v>
      </c>
      <c r="BH142" s="15">
        <v>337.44444444444446</v>
      </c>
      <c r="BI142" s="20">
        <v>1.0155555555555555</v>
      </c>
      <c r="BJ142" s="15">
        <v>342.6935802469136</v>
      </c>
      <c r="BK142" s="13">
        <f t="shared" si="77"/>
        <v>446411.13921932841</v>
      </c>
      <c r="BL142" s="13">
        <f t="shared" si="67"/>
        <v>66646429.335880674</v>
      </c>
      <c r="BM142" s="14">
        <v>0.66536330263883203</v>
      </c>
      <c r="BN142" s="14">
        <v>99.334636697361162</v>
      </c>
      <c r="BO142" s="16">
        <v>2.9673913043478258E-3</v>
      </c>
      <c r="BP142" s="16">
        <v>1.0891304347826086E-3</v>
      </c>
      <c r="BQ142" s="16">
        <v>7.4826818181818175E-2</v>
      </c>
      <c r="BR142" s="16">
        <v>1.4742181818181819E-2</v>
      </c>
      <c r="BS142" s="16">
        <v>1.3736363636363637E-2</v>
      </c>
      <c r="BT142" s="5">
        <v>1.6445454545454545</v>
      </c>
      <c r="BU142" s="5">
        <v>1.0381818181818181</v>
      </c>
      <c r="BV142" s="5">
        <v>1.3736363636363638</v>
      </c>
      <c r="BW142" s="16">
        <f>BT142*5.66</f>
        <v>9.3081272727272726</v>
      </c>
      <c r="BX142" s="16">
        <f>BU142*1.36</f>
        <v>1.4119272727272727</v>
      </c>
      <c r="BY142" s="16">
        <f>BV142*1.36</f>
        <v>1.8681454545454548</v>
      </c>
      <c r="BZ142" s="16">
        <v>2.96E-3</v>
      </c>
      <c r="CA142" s="16">
        <f t="shared" ref="CA142:CA160" si="78">(BT142*BZ142)*(44/28)*265</f>
        <v>2.0271137142857145</v>
      </c>
      <c r="CB142" s="9">
        <f t="shared" ref="CB142:CB160" si="79">(74.1+69.3+63.1)/3*BO142</f>
        <v>0.20425543478260866</v>
      </c>
      <c r="CC142" s="16">
        <f t="shared" ref="CC142:CC160" si="80">(0.00415+0.08+0.005)/3*BO142*28</f>
        <v>2.469067391304348E-3</v>
      </c>
      <c r="CD142" s="16">
        <f t="shared" ref="CD142:CD160" si="81">(0.0286+0.002+0.0001)/3*BO142*265</f>
        <v>8.047070652173912E-3</v>
      </c>
      <c r="CE142" s="17">
        <f t="shared" ref="CE142:CE160" si="82">CB142+CC142+CD142</f>
        <v>0.21477157282608692</v>
      </c>
      <c r="CF142" s="9">
        <f t="shared" ref="CF142:CF160" si="83">BP142*95</f>
        <v>0.10346739130434782</v>
      </c>
      <c r="CG142" s="18">
        <v>2530909.0909090908</v>
      </c>
      <c r="CH142" s="9">
        <f t="shared" si="68"/>
        <v>0.2717231717139777</v>
      </c>
      <c r="CI142" s="9">
        <f t="shared" si="69"/>
        <v>3.7795464233373238E-2</v>
      </c>
      <c r="CJ142" s="5">
        <v>31.149923700761722</v>
      </c>
      <c r="CK142" s="5">
        <v>2.4938973589902114</v>
      </c>
      <c r="CL142" s="5">
        <v>32.866973935251174</v>
      </c>
    </row>
    <row r="143" spans="1:90" x14ac:dyDescent="0.25">
      <c r="A143" s="2" t="s">
        <v>299</v>
      </c>
      <c r="B143" s="1" t="s">
        <v>141</v>
      </c>
      <c r="C143" s="1" t="s">
        <v>321</v>
      </c>
      <c r="D143" s="1" t="s">
        <v>342</v>
      </c>
      <c r="E143" s="1" t="s">
        <v>337</v>
      </c>
      <c r="F143" s="21">
        <v>7502.20006457</v>
      </c>
      <c r="G143" s="22">
        <v>0.77119736930799998</v>
      </c>
      <c r="H143" s="22">
        <v>1.5866529244699999E-5</v>
      </c>
      <c r="I143" s="22">
        <v>50311337087.300003</v>
      </c>
      <c r="J143" s="22">
        <v>6355575.4089000002</v>
      </c>
      <c r="K143" s="22">
        <f t="shared" si="64"/>
        <v>1.180412406729425</v>
      </c>
      <c r="L143" s="22">
        <f t="shared" si="65"/>
        <v>1.2134186437754437</v>
      </c>
      <c r="M143" s="22">
        <f t="shared" si="66"/>
        <v>7.916094743655588</v>
      </c>
      <c r="N143" s="21">
        <v>7502.20006457</v>
      </c>
      <c r="O143" s="21">
        <v>0</v>
      </c>
      <c r="P143" s="22">
        <v>0.77119736930799998</v>
      </c>
      <c r="Q143" s="22">
        <v>0</v>
      </c>
      <c r="R143" s="23">
        <v>5644.2454333599999</v>
      </c>
      <c r="S143" s="23">
        <v>1857.95464603</v>
      </c>
      <c r="T143" s="23">
        <v>0</v>
      </c>
      <c r="U143" s="23">
        <v>0</v>
      </c>
      <c r="V143" s="23">
        <v>0</v>
      </c>
      <c r="W143" s="23">
        <v>0</v>
      </c>
      <c r="X143" s="22">
        <v>0.50203995453200001</v>
      </c>
      <c r="Y143" s="22">
        <v>0.269157415723</v>
      </c>
      <c r="Z143" s="22">
        <v>0</v>
      </c>
      <c r="AA143" s="22">
        <v>0</v>
      </c>
      <c r="AB143" s="22">
        <v>0</v>
      </c>
      <c r="AC143" s="22">
        <v>0</v>
      </c>
      <c r="AD143" s="21">
        <v>0</v>
      </c>
      <c r="AE143" s="21">
        <v>0</v>
      </c>
      <c r="AF143" s="21">
        <v>5644.24543756</v>
      </c>
      <c r="AG143" s="21">
        <v>0</v>
      </c>
      <c r="AH143" s="21">
        <v>0</v>
      </c>
      <c r="AI143" s="21">
        <v>0</v>
      </c>
      <c r="AJ143" s="21">
        <v>0</v>
      </c>
      <c r="AK143" s="21">
        <v>0</v>
      </c>
      <c r="AL143" s="21">
        <v>1857.95464539</v>
      </c>
      <c r="AM143" s="21">
        <v>0</v>
      </c>
      <c r="AN143" s="21">
        <v>0</v>
      </c>
      <c r="AO143" s="21">
        <v>0</v>
      </c>
      <c r="AP143" s="22">
        <v>0</v>
      </c>
      <c r="AQ143" s="22">
        <v>0</v>
      </c>
      <c r="AR143" s="22">
        <v>0.26915741571099999</v>
      </c>
      <c r="AS143" s="22">
        <v>0</v>
      </c>
      <c r="AT143" s="22">
        <v>0</v>
      </c>
      <c r="AU143" s="22">
        <v>0.50203995383199995</v>
      </c>
      <c r="AV143" s="22">
        <v>0</v>
      </c>
      <c r="AW143" s="22">
        <v>0</v>
      </c>
      <c r="AX143" s="22">
        <v>0</v>
      </c>
      <c r="AY143" s="22">
        <v>0</v>
      </c>
      <c r="AZ143" s="22">
        <v>0</v>
      </c>
      <c r="BA143" s="22">
        <v>0</v>
      </c>
      <c r="BB143" s="7">
        <v>1000.13393434</v>
      </c>
      <c r="BC143" s="1">
        <v>5.5840811510100001E-2</v>
      </c>
      <c r="BD143" s="9">
        <v>1</v>
      </c>
      <c r="BE143" s="9">
        <v>0</v>
      </c>
      <c r="BF143" s="10">
        <v>0</v>
      </c>
      <c r="BG143" s="11">
        <v>-18.011406699999998</v>
      </c>
      <c r="BH143" s="15">
        <v>532.55555555555554</v>
      </c>
      <c r="BI143" s="20">
        <v>0.9792843691148776</v>
      </c>
      <c r="BJ143" s="15">
        <v>521.52333124084532</v>
      </c>
      <c r="BK143" s="13">
        <f t="shared" si="77"/>
        <v>5240311984.8239756</v>
      </c>
      <c r="BL143" s="13">
        <f t="shared" si="67"/>
        <v>45071025102.476028</v>
      </c>
      <c r="BM143" s="14">
        <v>10.415767674254035</v>
      </c>
      <c r="BN143" s="14">
        <v>89.584232325745958</v>
      </c>
      <c r="BO143" s="16">
        <v>1.3954886554250905</v>
      </c>
      <c r="BP143" s="16">
        <v>0.51219034166151678</v>
      </c>
      <c r="BQ143" s="16">
        <v>2.8166568181818183</v>
      </c>
      <c r="BR143" s="16">
        <v>0.29885836363636359</v>
      </c>
      <c r="BS143" s="16">
        <v>0.17982727272727275</v>
      </c>
      <c r="BT143" s="5">
        <v>61.904545454545456</v>
      </c>
      <c r="BU143" s="5">
        <v>21.046363636363637</v>
      </c>
      <c r="BV143" s="5">
        <v>17.982727272727274</v>
      </c>
      <c r="BW143" s="16">
        <f>BT143*4</f>
        <v>247.61818181818182</v>
      </c>
      <c r="BX143" s="16">
        <f>BU143*1.29</f>
        <v>27.149809090909091</v>
      </c>
      <c r="BY143" s="16">
        <f>BV143*1.47</f>
        <v>26.434609090909092</v>
      </c>
      <c r="BZ143" s="16">
        <v>6.4999999999999997E-3</v>
      </c>
      <c r="CA143" s="16">
        <f t="shared" si="78"/>
        <v>167.56233928571427</v>
      </c>
      <c r="CB143" s="9">
        <f t="shared" si="79"/>
        <v>96.056135781760389</v>
      </c>
      <c r="CC143" s="16">
        <f t="shared" si="80"/>
        <v>1.1611395938907036</v>
      </c>
      <c r="CD143" s="16">
        <f t="shared" si="81"/>
        <v>3.7843326520702747</v>
      </c>
      <c r="CE143" s="17">
        <f t="shared" si="82"/>
        <v>101.00160802772137</v>
      </c>
      <c r="CF143" s="9">
        <f t="shared" si="83"/>
        <v>48.658082457844095</v>
      </c>
      <c r="CG143" s="18">
        <v>19159909.090909094</v>
      </c>
      <c r="CH143" s="9">
        <f t="shared" si="68"/>
        <v>99.689418011320171</v>
      </c>
      <c r="CI143" s="9">
        <f t="shared" si="69"/>
        <v>11.848959685996833</v>
      </c>
      <c r="CJ143" s="5">
        <v>56.396153148184638</v>
      </c>
      <c r="CK143" s="5">
        <v>0</v>
      </c>
      <c r="CL143" s="5">
        <v>56.396153148184638</v>
      </c>
    </row>
    <row r="144" spans="1:90" x14ac:dyDescent="0.25">
      <c r="A144" s="2" t="s">
        <v>300</v>
      </c>
      <c r="B144" s="1" t="s">
        <v>142</v>
      </c>
      <c r="C144" s="1" t="s">
        <v>321</v>
      </c>
      <c r="D144" s="1" t="s">
        <v>350</v>
      </c>
      <c r="E144" s="1" t="s">
        <v>344</v>
      </c>
      <c r="F144" s="21">
        <v>1270.14323444</v>
      </c>
      <c r="G144" s="22">
        <v>9.4321047255200005E-2</v>
      </c>
      <c r="H144" s="22">
        <v>2.8308345750500003E-4</v>
      </c>
      <c r="I144" s="22">
        <v>9675742595.7999992</v>
      </c>
      <c r="J144" s="22">
        <v>727308.91683100001</v>
      </c>
      <c r="K144" s="22">
        <f t="shared" si="64"/>
        <v>1.7463600473567888</v>
      </c>
      <c r="L144" s="22">
        <f t="shared" si="65"/>
        <v>1.2968498676761964</v>
      </c>
      <c r="M144" s="22">
        <f t="shared" si="66"/>
        <v>13.30348407930806</v>
      </c>
      <c r="N144" s="21">
        <v>1270.14323444</v>
      </c>
      <c r="O144" s="21">
        <v>0</v>
      </c>
      <c r="P144" s="22">
        <v>9.4321047255200005E-2</v>
      </c>
      <c r="Q144" s="22">
        <v>0</v>
      </c>
      <c r="R144" s="23">
        <v>1038.8242131899999</v>
      </c>
      <c r="S144" s="23">
        <v>231.319023383</v>
      </c>
      <c r="T144" s="23">
        <v>0</v>
      </c>
      <c r="U144" s="23">
        <v>0</v>
      </c>
      <c r="V144" s="23">
        <v>0</v>
      </c>
      <c r="W144" s="23">
        <v>0</v>
      </c>
      <c r="X144" s="22">
        <v>9.2400528111899999E-2</v>
      </c>
      <c r="Y144" s="22">
        <v>1.9205190562899999E-3</v>
      </c>
      <c r="Z144" s="22">
        <v>0</v>
      </c>
      <c r="AA144" s="22">
        <v>0</v>
      </c>
      <c r="AB144" s="22">
        <v>0</v>
      </c>
      <c r="AC144" s="22">
        <v>0</v>
      </c>
      <c r="AD144" s="21">
        <v>0</v>
      </c>
      <c r="AE144" s="21">
        <v>0</v>
      </c>
      <c r="AF144" s="21">
        <v>1038.82421286</v>
      </c>
      <c r="AG144" s="21">
        <v>0</v>
      </c>
      <c r="AH144" s="21">
        <v>0</v>
      </c>
      <c r="AI144" s="21">
        <v>0</v>
      </c>
      <c r="AJ144" s="21">
        <v>0</v>
      </c>
      <c r="AK144" s="21">
        <v>0</v>
      </c>
      <c r="AL144" s="21">
        <v>231.319023574</v>
      </c>
      <c r="AM144" s="21">
        <v>0</v>
      </c>
      <c r="AN144" s="21">
        <v>0</v>
      </c>
      <c r="AO144" s="21">
        <v>0</v>
      </c>
      <c r="AP144" s="22">
        <v>0</v>
      </c>
      <c r="AQ144" s="22">
        <v>0</v>
      </c>
      <c r="AR144" s="22">
        <v>1.92051905713E-3</v>
      </c>
      <c r="AS144" s="22">
        <v>0</v>
      </c>
      <c r="AT144" s="22">
        <v>0</v>
      </c>
      <c r="AU144" s="22">
        <v>9.2400528143600003E-2</v>
      </c>
      <c r="AV144" s="22">
        <v>0</v>
      </c>
      <c r="AW144" s="22">
        <v>0</v>
      </c>
      <c r="AX144" s="22">
        <v>0</v>
      </c>
      <c r="AY144" s="22">
        <v>0</v>
      </c>
      <c r="AZ144" s="22">
        <v>0</v>
      </c>
      <c r="BA144" s="22">
        <v>0</v>
      </c>
      <c r="BB144" s="7">
        <v>185.87342841700001</v>
      </c>
      <c r="BC144" s="1">
        <v>1.0274669985700001E-2</v>
      </c>
      <c r="BD144" s="9">
        <v>1</v>
      </c>
      <c r="BE144" s="9">
        <v>0</v>
      </c>
      <c r="BF144" s="10">
        <v>0</v>
      </c>
      <c r="BG144" s="11">
        <v>-67.828254735200005</v>
      </c>
      <c r="BH144" s="15">
        <v>29.888888888888889</v>
      </c>
      <c r="BI144" s="20">
        <v>1</v>
      </c>
      <c r="BJ144" s="15">
        <v>29.888888888888889</v>
      </c>
      <c r="BK144" s="13">
        <f t="shared" si="77"/>
        <v>519831975.10196143</v>
      </c>
      <c r="BL144" s="13">
        <f t="shared" si="67"/>
        <v>9155910620.6980381</v>
      </c>
      <c r="BM144" s="14">
        <v>5.372527947649286</v>
      </c>
      <c r="BN144" s="14">
        <v>94.627472052350711</v>
      </c>
      <c r="BO144" s="16">
        <v>2.4305839803067602</v>
      </c>
      <c r="BP144" s="16">
        <v>0.89210444991478888</v>
      </c>
      <c r="BQ144" s="16">
        <v>0.43924045454545452</v>
      </c>
      <c r="BR144" s="16">
        <v>0.11210111111111111</v>
      </c>
      <c r="BS144" s="16">
        <v>1.1922222222222221E-2</v>
      </c>
      <c r="BT144" s="5">
        <v>9.6536363636363642</v>
      </c>
      <c r="BU144" s="5">
        <v>7.8944444444444439</v>
      </c>
      <c r="BV144" s="5">
        <v>1.1922222222222223</v>
      </c>
      <c r="BW144" s="16">
        <f>BT144*4</f>
        <v>38.614545454545457</v>
      </c>
      <c r="BX144" s="16">
        <f>BU144*1.29</f>
        <v>10.183833333333332</v>
      </c>
      <c r="BY144" s="16">
        <f>BV144*1.47</f>
        <v>1.7525666666666668</v>
      </c>
      <c r="BZ144" s="16">
        <v>2.66E-3</v>
      </c>
      <c r="CA144" s="16">
        <f t="shared" si="78"/>
        <v>10.693332999999999</v>
      </c>
      <c r="CB144" s="9">
        <f t="shared" si="79"/>
        <v>167.30519731111531</v>
      </c>
      <c r="CC144" s="16">
        <f t="shared" si="80"/>
        <v>2.022407910547245</v>
      </c>
      <c r="CD144" s="16">
        <f t="shared" si="81"/>
        <v>6.5913386572618826</v>
      </c>
      <c r="CE144" s="17">
        <f t="shared" si="82"/>
        <v>175.91894387892444</v>
      </c>
      <c r="CF144" s="9">
        <f t="shared" si="83"/>
        <v>84.749922741904939</v>
      </c>
      <c r="CG144" s="18">
        <v>878827.27272727282</v>
      </c>
      <c r="CH144" s="9">
        <f t="shared" si="68"/>
        <v>3.4150807897816153</v>
      </c>
      <c r="CI144" s="9">
        <f t="shared" si="69"/>
        <v>0.28290605134165053</v>
      </c>
      <c r="CJ144" s="5">
        <v>0</v>
      </c>
      <c r="CK144" s="5">
        <v>0</v>
      </c>
      <c r="CL144" s="5">
        <v>0</v>
      </c>
    </row>
    <row r="145" spans="1:90" x14ac:dyDescent="0.25">
      <c r="A145" s="2" t="s">
        <v>301</v>
      </c>
      <c r="B145" s="1" t="s">
        <v>143</v>
      </c>
      <c r="C145" s="1" t="s">
        <v>321</v>
      </c>
      <c r="D145" s="1" t="s">
        <v>350</v>
      </c>
      <c r="E145" s="1" t="s">
        <v>344</v>
      </c>
      <c r="F145" s="21">
        <v>765.25187782099999</v>
      </c>
      <c r="G145" s="22">
        <v>0.130965011465</v>
      </c>
      <c r="H145" s="22">
        <v>7.5130258917800009E-5</v>
      </c>
      <c r="I145" s="22">
        <v>25882996386.900002</v>
      </c>
      <c r="J145" s="22">
        <v>2002433.0587899999</v>
      </c>
      <c r="K145" s="22">
        <f t="shared" si="64"/>
        <v>0.38216102878535918</v>
      </c>
      <c r="L145" s="22">
        <f t="shared" si="65"/>
        <v>0.65402941132093362</v>
      </c>
      <c r="M145" s="22">
        <f t="shared" si="66"/>
        <v>12.925773609900441</v>
      </c>
      <c r="N145" s="21">
        <v>765.25187782099999</v>
      </c>
      <c r="O145" s="21">
        <v>0</v>
      </c>
      <c r="P145" s="22">
        <v>0.130965011465</v>
      </c>
      <c r="Q145" s="22">
        <v>0</v>
      </c>
      <c r="R145" s="23">
        <v>608.28681363700002</v>
      </c>
      <c r="S145" s="23">
        <v>156.965058414</v>
      </c>
      <c r="T145" s="23">
        <v>0</v>
      </c>
      <c r="U145" s="23">
        <v>0</v>
      </c>
      <c r="V145" s="23">
        <v>0</v>
      </c>
      <c r="W145" s="23">
        <v>0</v>
      </c>
      <c r="X145" s="22">
        <v>5.4105422900300001E-2</v>
      </c>
      <c r="Y145" s="22">
        <v>7.6859587493400008E-2</v>
      </c>
      <c r="Z145" s="22">
        <v>0</v>
      </c>
      <c r="AA145" s="22">
        <v>0</v>
      </c>
      <c r="AB145" s="22">
        <v>0</v>
      </c>
      <c r="AC145" s="22">
        <v>0</v>
      </c>
      <c r="AD145" s="21">
        <v>0</v>
      </c>
      <c r="AE145" s="21">
        <v>0</v>
      </c>
      <c r="AF145" s="21">
        <v>608.28681208599994</v>
      </c>
      <c r="AG145" s="21">
        <v>0</v>
      </c>
      <c r="AH145" s="21">
        <v>0</v>
      </c>
      <c r="AI145" s="21">
        <v>0</v>
      </c>
      <c r="AJ145" s="21">
        <v>0</v>
      </c>
      <c r="AK145" s="21">
        <v>0</v>
      </c>
      <c r="AL145" s="21">
        <v>156.96505648900001</v>
      </c>
      <c r="AM145" s="21">
        <v>0</v>
      </c>
      <c r="AN145" s="21">
        <v>0</v>
      </c>
      <c r="AO145" s="21">
        <v>0</v>
      </c>
      <c r="AP145" s="22">
        <v>0</v>
      </c>
      <c r="AQ145" s="22">
        <v>0</v>
      </c>
      <c r="AR145" s="22">
        <v>7.6859587885699993E-2</v>
      </c>
      <c r="AS145" s="22">
        <v>0</v>
      </c>
      <c r="AT145" s="22">
        <v>0</v>
      </c>
      <c r="AU145" s="22">
        <v>5.4105422771300003E-2</v>
      </c>
      <c r="AV145" s="22">
        <v>0</v>
      </c>
      <c r="AW145" s="22">
        <v>0</v>
      </c>
      <c r="AX145" s="22">
        <v>0</v>
      </c>
      <c r="AY145" s="22">
        <v>0</v>
      </c>
      <c r="AZ145" s="22">
        <v>0</v>
      </c>
      <c r="BA145" s="22">
        <v>0</v>
      </c>
      <c r="BB145" s="7">
        <v>25.089099594699999</v>
      </c>
      <c r="BC145" s="1">
        <v>1.3868696711E-3</v>
      </c>
      <c r="BD145" s="9">
        <v>1</v>
      </c>
      <c r="BE145" s="9">
        <v>0</v>
      </c>
      <c r="BF145" s="10">
        <v>0</v>
      </c>
      <c r="BG145" s="11">
        <v>-20.938690226199999</v>
      </c>
      <c r="BH145" s="15">
        <v>1762.7777777777778</v>
      </c>
      <c r="BI145" s="20">
        <v>1</v>
      </c>
      <c r="BJ145" s="15">
        <v>1762.7777777777778</v>
      </c>
      <c r="BK145" s="13">
        <f t="shared" si="77"/>
        <v>320001657.49090976</v>
      </c>
      <c r="BL145" s="13">
        <f t="shared" si="67"/>
        <v>25562994729.409092</v>
      </c>
      <c r="BM145" s="14">
        <v>1.2363393044124913</v>
      </c>
      <c r="BN145" s="14">
        <v>98.763660695587504</v>
      </c>
      <c r="BO145" s="16">
        <v>2.8391999999999999</v>
      </c>
      <c r="BP145" s="16">
        <v>1.0420800000000001</v>
      </c>
      <c r="BQ145" s="16">
        <v>4.2952000000000004</v>
      </c>
      <c r="BR145" s="16">
        <v>3.2143636363636372E-3</v>
      </c>
      <c r="BS145" s="16">
        <v>3.1090909090909086E-3</v>
      </c>
      <c r="BT145" s="5">
        <v>94.4</v>
      </c>
      <c r="BU145" s="5">
        <v>0.22636363636363635</v>
      </c>
      <c r="BV145" s="5">
        <v>0.31090909090909097</v>
      </c>
      <c r="BW145" s="16">
        <f>BT145*4</f>
        <v>377.6</v>
      </c>
      <c r="BX145" s="16">
        <f>BU145*1.29</f>
        <v>0.29200909090909088</v>
      </c>
      <c r="BY145" s="16">
        <f>BV145*1.47</f>
        <v>0.45703636363636374</v>
      </c>
      <c r="BZ145" s="16">
        <v>2.66E-3</v>
      </c>
      <c r="CA145" s="16">
        <f t="shared" si="78"/>
        <v>104.56688</v>
      </c>
      <c r="CB145" s="9">
        <f t="shared" si="79"/>
        <v>195.43159999999997</v>
      </c>
      <c r="CC145" s="16">
        <f t="shared" si="80"/>
        <v>2.3624036799999999</v>
      </c>
      <c r="CD145" s="16">
        <f t="shared" si="81"/>
        <v>7.6994372000000002</v>
      </c>
      <c r="CE145" s="17">
        <f t="shared" si="82"/>
        <v>205.49344087999998</v>
      </c>
      <c r="CF145" s="9">
        <f t="shared" si="83"/>
        <v>98.997600000000006</v>
      </c>
      <c r="CG145" s="18">
        <v>2072727.2727272725</v>
      </c>
      <c r="CH145" s="9">
        <f t="shared" si="68"/>
        <v>16.960719887603304</v>
      </c>
      <c r="CI145" s="9">
        <f t="shared" si="69"/>
        <v>1.6320798938570575</v>
      </c>
      <c r="CJ145" s="5">
        <v>28.542205169745444</v>
      </c>
      <c r="CK145" s="5">
        <v>0</v>
      </c>
      <c r="CL145" s="5">
        <v>28.542205169745436</v>
      </c>
    </row>
    <row r="146" spans="1:90" x14ac:dyDescent="0.25">
      <c r="A146" s="2" t="s">
        <v>302</v>
      </c>
      <c r="B146" s="1" t="s">
        <v>144</v>
      </c>
      <c r="C146" s="1" t="s">
        <v>332</v>
      </c>
      <c r="D146" s="1" t="s">
        <v>333</v>
      </c>
      <c r="E146" s="1" t="s">
        <v>339</v>
      </c>
      <c r="F146" s="21">
        <v>4.7418109059200004</v>
      </c>
      <c r="G146" s="22">
        <v>5.4648579318799996E-4</v>
      </c>
      <c r="H146" s="22">
        <v>4.7526606358599999E-9</v>
      </c>
      <c r="I146" s="22">
        <v>10570503.6494</v>
      </c>
      <c r="J146" s="22">
        <v>3052.4408564599998</v>
      </c>
      <c r="K146" s="22">
        <f t="shared" si="64"/>
        <v>1.5534489049590332</v>
      </c>
      <c r="L146" s="22">
        <f t="shared" si="65"/>
        <v>1.7903239370926736</v>
      </c>
      <c r="M146" s="22">
        <f t="shared" si="66"/>
        <v>3.4629675549746457</v>
      </c>
      <c r="N146" s="21">
        <v>1.6054083512899999</v>
      </c>
      <c r="O146" s="21">
        <v>3.1364025452300002</v>
      </c>
      <c r="P146" s="22">
        <v>1.8556491619199999E-4</v>
      </c>
      <c r="Q146" s="22">
        <v>3.6092086930800002E-4</v>
      </c>
      <c r="R146" s="23">
        <v>1.2304010755899999</v>
      </c>
      <c r="S146" s="23">
        <v>0.37500726509499999</v>
      </c>
      <c r="T146" s="23">
        <v>0</v>
      </c>
      <c r="U146" s="23">
        <v>2.4178667383999999</v>
      </c>
      <c r="V146" s="23">
        <v>0.71853584111199997</v>
      </c>
      <c r="W146" s="23">
        <v>0</v>
      </c>
      <c r="X146" s="22">
        <v>1.0944075676200001E-4</v>
      </c>
      <c r="Y146" s="22">
        <v>7.6124159995200009E-5</v>
      </c>
      <c r="Z146" s="22">
        <v>0</v>
      </c>
      <c r="AA146" s="22">
        <v>2.1506253093100001E-4</v>
      </c>
      <c r="AB146" s="22">
        <v>1.45858339628E-4</v>
      </c>
      <c r="AC146" s="22">
        <v>0</v>
      </c>
      <c r="AD146" s="21">
        <v>4.0355232637599998E-2</v>
      </c>
      <c r="AE146" s="21">
        <v>0.37822145236400001</v>
      </c>
      <c r="AF146" s="21">
        <v>0.81182438217200004</v>
      </c>
      <c r="AG146" s="21">
        <v>0.17312876562499999</v>
      </c>
      <c r="AH146" s="21">
        <v>2.24473800622</v>
      </c>
      <c r="AI146" s="21">
        <v>0</v>
      </c>
      <c r="AJ146" s="21">
        <v>1.2462723711E-2</v>
      </c>
      <c r="AK146" s="21">
        <v>0.115083712238</v>
      </c>
      <c r="AL146" s="21">
        <v>0.247460831706</v>
      </c>
      <c r="AM146" s="21">
        <v>5.1449990116800001E-2</v>
      </c>
      <c r="AN146" s="21">
        <v>0.66708584904099999</v>
      </c>
      <c r="AO146" s="21">
        <v>0</v>
      </c>
      <c r="AP146" s="22">
        <v>2.52985600923E-6</v>
      </c>
      <c r="AQ146" s="22">
        <v>2.3361283224299999E-5</v>
      </c>
      <c r="AR146" s="22">
        <v>5.0233021002899999E-5</v>
      </c>
      <c r="AS146" s="22">
        <v>3.5894858573300002E-6</v>
      </c>
      <c r="AT146" s="22">
        <v>3.3641747441399998E-5</v>
      </c>
      <c r="AU146" s="22">
        <v>7.22095235967E-5</v>
      </c>
      <c r="AV146" s="22">
        <v>1.53993226458E-5</v>
      </c>
      <c r="AW146" s="22">
        <v>1.9966321047400001E-4</v>
      </c>
      <c r="AX146" s="22">
        <v>0</v>
      </c>
      <c r="AY146" s="22">
        <v>1.0444030215299999E-5</v>
      </c>
      <c r="AZ146" s="22">
        <v>1.3541430847099998E-4</v>
      </c>
      <c r="BA146" s="22">
        <v>0</v>
      </c>
      <c r="BB146" s="7">
        <v>1.1924102753400001</v>
      </c>
      <c r="BC146" s="1">
        <v>2.35169810057E-5</v>
      </c>
      <c r="BD146" s="9">
        <v>0.77800000000000002</v>
      </c>
      <c r="BE146" s="9">
        <v>0.19</v>
      </c>
      <c r="BF146" s="10">
        <v>3.2000000000000001E-2</v>
      </c>
      <c r="BG146" s="11">
        <v>-22.4149483542</v>
      </c>
      <c r="BH146" s="15">
        <v>730.77777777777783</v>
      </c>
      <c r="BI146" s="20">
        <v>1</v>
      </c>
      <c r="BJ146" s="15">
        <v>730.77777777777783</v>
      </c>
      <c r="BK146" s="13">
        <f t="shared" si="77"/>
        <v>1057050.3515993005</v>
      </c>
      <c r="BL146" s="13">
        <f t="shared" si="67"/>
        <v>9513453.2978006992</v>
      </c>
      <c r="BM146" s="14">
        <v>9.9999998737931524</v>
      </c>
      <c r="BN146" s="14">
        <v>90.000000126206842</v>
      </c>
      <c r="BO146" s="16">
        <v>5.4773885350318468</v>
      </c>
      <c r="BP146" s="16">
        <v>2.297579617834395</v>
      </c>
      <c r="BQ146" s="16">
        <v>4.181491363636364</v>
      </c>
      <c r="BR146" s="16">
        <v>0.10577709090909089</v>
      </c>
      <c r="BS146" s="16">
        <v>0.10947272727272729</v>
      </c>
      <c r="BT146" s="5">
        <v>91.900909090909082</v>
      </c>
      <c r="BU146" s="5">
        <v>7.4490909090909092</v>
      </c>
      <c r="BV146" s="5">
        <v>10.947272727272727</v>
      </c>
      <c r="BW146" s="16">
        <f>BT146*3.53</f>
        <v>324.41020909090906</v>
      </c>
      <c r="BX146" s="16">
        <f>BU146*0.54</f>
        <v>4.0225090909090913</v>
      </c>
      <c r="BY146" s="16">
        <f>BV146*1.02</f>
        <v>11.166218181818182</v>
      </c>
      <c r="BZ146" s="16">
        <v>2.4420000000000001E-2</v>
      </c>
      <c r="CA146" s="16">
        <f t="shared" si="78"/>
        <v>934.55741185714294</v>
      </c>
      <c r="CB146" s="9">
        <f t="shared" si="79"/>
        <v>377.02691082802545</v>
      </c>
      <c r="CC146" s="16">
        <f t="shared" si="80"/>
        <v>4.5575524203821658</v>
      </c>
      <c r="CD146" s="16">
        <f t="shared" si="81"/>
        <v>14.853764808917196</v>
      </c>
      <c r="CE146" s="17">
        <f t="shared" si="82"/>
        <v>396.43822805732481</v>
      </c>
      <c r="CF146" s="9">
        <f t="shared" si="83"/>
        <v>218.27006369426752</v>
      </c>
      <c r="CG146" s="18">
        <v>49909.090909090904</v>
      </c>
      <c r="CH146" s="9">
        <f t="shared" si="68"/>
        <v>0.60747894770379529</v>
      </c>
      <c r="CI146" s="9">
        <f t="shared" si="69"/>
        <v>9.4271517031348367E-2</v>
      </c>
      <c r="CJ146" s="5">
        <v>73.39620526056548</v>
      </c>
      <c r="CK146" s="5">
        <v>0</v>
      </c>
      <c r="CL146" s="5">
        <v>73.39620526056548</v>
      </c>
    </row>
    <row r="147" spans="1:90" x14ac:dyDescent="0.25">
      <c r="A147" s="2" t="s">
        <v>303</v>
      </c>
      <c r="B147" s="1" t="s">
        <v>145</v>
      </c>
      <c r="C147" s="1" t="s">
        <v>327</v>
      </c>
      <c r="D147" s="1" t="s">
        <v>328</v>
      </c>
      <c r="E147" s="1" t="s">
        <v>329</v>
      </c>
      <c r="F147" s="21">
        <v>2728.1869903400002</v>
      </c>
      <c r="G147" s="22">
        <v>0.28327319707599996</v>
      </c>
      <c r="H147" s="22">
        <v>9.58094279933E-3</v>
      </c>
      <c r="I147" s="22">
        <v>1925066047.8599999</v>
      </c>
      <c r="J147" s="22">
        <v>448387.233702</v>
      </c>
      <c r="K147" s="22">
        <f t="shared" si="64"/>
        <v>6.0844439477355063</v>
      </c>
      <c r="L147" s="22">
        <f t="shared" si="65"/>
        <v>6.3176017465355514</v>
      </c>
      <c r="M147" s="22">
        <f t="shared" si="66"/>
        <v>4.293311457523358</v>
      </c>
      <c r="N147" s="21">
        <v>2411.9655772599999</v>
      </c>
      <c r="O147" s="21">
        <v>316.22141782800003</v>
      </c>
      <c r="P147" s="22">
        <v>0.250568621203</v>
      </c>
      <c r="Q147" s="22">
        <v>3.2704575830500002E-2</v>
      </c>
      <c r="R147" s="23">
        <v>1660.7936141600001</v>
      </c>
      <c r="S147" s="23">
        <v>751.171959098</v>
      </c>
      <c r="T147" s="23">
        <v>0</v>
      </c>
      <c r="U147" s="23">
        <v>220.788717217</v>
      </c>
      <c r="V147" s="23">
        <v>95.432701806500006</v>
      </c>
      <c r="W147" s="23">
        <v>0</v>
      </c>
      <c r="X147" s="22">
        <v>0.14772297926899999</v>
      </c>
      <c r="Y147" s="22">
        <v>0.102845642007</v>
      </c>
      <c r="Z147" s="22">
        <v>0</v>
      </c>
      <c r="AA147" s="22">
        <v>1.9638543181300001E-2</v>
      </c>
      <c r="AB147" s="22">
        <v>1.3066032830599998E-2</v>
      </c>
      <c r="AC147" s="22">
        <v>0</v>
      </c>
      <c r="AD147" s="21">
        <v>262.65568356900002</v>
      </c>
      <c r="AE147" s="21">
        <v>526.18640113800006</v>
      </c>
      <c r="AF147" s="21">
        <v>871.95153217300003</v>
      </c>
      <c r="AG147" s="21">
        <v>53.0013633258</v>
      </c>
      <c r="AH147" s="21">
        <v>167.78735394699999</v>
      </c>
      <c r="AI147" s="21">
        <v>0</v>
      </c>
      <c r="AJ147" s="21">
        <v>119.088241697</v>
      </c>
      <c r="AK147" s="21">
        <v>237.48432649700001</v>
      </c>
      <c r="AL147" s="21">
        <v>394.59939061699998</v>
      </c>
      <c r="AM147" s="21">
        <v>22.9090656702</v>
      </c>
      <c r="AN147" s="21">
        <v>72.523635762200001</v>
      </c>
      <c r="AO147" s="21">
        <v>0</v>
      </c>
      <c r="AP147" s="22">
        <v>1.6304797546700001E-2</v>
      </c>
      <c r="AQ147" s="22">
        <v>3.2514829356800001E-2</v>
      </c>
      <c r="AR147" s="22">
        <v>5.4026015410800002E-2</v>
      </c>
      <c r="AS147" s="22">
        <v>2.33624934663E-2</v>
      </c>
      <c r="AT147" s="22">
        <v>4.6802818877000003E-2</v>
      </c>
      <c r="AU147" s="22">
        <v>7.75576665479E-2</v>
      </c>
      <c r="AV147" s="22">
        <v>4.7143240454699999E-3</v>
      </c>
      <c r="AW147" s="22">
        <v>1.4924219056799999E-2</v>
      </c>
      <c r="AX147" s="22">
        <v>0</v>
      </c>
      <c r="AY147" s="22">
        <v>3.13656221039E-3</v>
      </c>
      <c r="AZ147" s="22">
        <v>9.9294706103600014E-3</v>
      </c>
      <c r="BA147" s="22">
        <v>0</v>
      </c>
      <c r="BB147" s="7">
        <v>884.403984874</v>
      </c>
      <c r="BC147" s="1">
        <v>2.9971468514399999E-2</v>
      </c>
      <c r="BD147" s="9">
        <v>0.58599999999999997</v>
      </c>
      <c r="BE147" s="9">
        <v>0.245</v>
      </c>
      <c r="BF147" s="10">
        <v>0.16900000000000001</v>
      </c>
      <c r="BG147" s="11">
        <v>-27.3136152314</v>
      </c>
      <c r="BH147" s="15">
        <v>492.88888888888891</v>
      </c>
      <c r="BI147" s="20">
        <v>1</v>
      </c>
      <c r="BJ147" s="15">
        <v>492.88888888888891</v>
      </c>
      <c r="BK147" s="13">
        <f t="shared" si="77"/>
        <v>1082854223.7613149</v>
      </c>
      <c r="BL147" s="13">
        <f t="shared" si="67"/>
        <v>842211824.09868503</v>
      </c>
      <c r="BM147" s="14">
        <v>56.250237490036767</v>
      </c>
      <c r="BN147" s="14">
        <v>43.749762509963226</v>
      </c>
      <c r="BO147" s="16">
        <v>0.70054432348367024</v>
      </c>
      <c r="BP147" s="16">
        <v>0.25712286158631414</v>
      </c>
      <c r="BQ147" s="16">
        <v>0.62736227272727263</v>
      </c>
      <c r="BR147" s="16">
        <v>0.12659945454545454</v>
      </c>
      <c r="BS147" s="16">
        <v>1.0463636363636364E-2</v>
      </c>
      <c r="BT147" s="16">
        <v>13.788181818181817</v>
      </c>
      <c r="BU147" s="16">
        <v>8.915454545454546</v>
      </c>
      <c r="BV147" s="16">
        <v>1.0463636363636362</v>
      </c>
      <c r="BW147" s="16">
        <f>BT147*5.66</f>
        <v>78.041109090909089</v>
      </c>
      <c r="BX147" s="16">
        <f>BU147*1.36</f>
        <v>12.125018181818183</v>
      </c>
      <c r="BY147" s="16">
        <f>BV147*1.36</f>
        <v>1.4230545454545453</v>
      </c>
      <c r="BZ147" s="16">
        <v>2.96E-3</v>
      </c>
      <c r="CA147" s="16">
        <f t="shared" si="78"/>
        <v>16.995706857142856</v>
      </c>
      <c r="CB147" s="9">
        <f t="shared" si="79"/>
        <v>48.220800933125965</v>
      </c>
      <c r="CC147" s="16">
        <f t="shared" si="80"/>
        <v>0.58289958009331266</v>
      </c>
      <c r="CD147" s="16">
        <f t="shared" si="81"/>
        <v>1.8997594479004667</v>
      </c>
      <c r="CE147" s="17">
        <f t="shared" si="82"/>
        <v>50.703459961119741</v>
      </c>
      <c r="CF147" s="9">
        <f t="shared" si="83"/>
        <v>24.426671850699844</v>
      </c>
      <c r="CG147" s="18">
        <v>4965545.4545454551</v>
      </c>
      <c r="CH147" s="9">
        <f t="shared" si="68"/>
        <v>8.551128827535404</v>
      </c>
      <c r="CI147" s="9">
        <f t="shared" si="69"/>
        <v>0.91224528491166423</v>
      </c>
      <c r="CJ147" s="5">
        <v>67.535859187244114</v>
      </c>
      <c r="CK147" s="5">
        <v>30.805944047353922</v>
      </c>
      <c r="CL147" s="5">
        <v>77.536744241475873</v>
      </c>
    </row>
    <row r="148" spans="1:90" x14ac:dyDescent="0.25">
      <c r="A148" s="2" t="s">
        <v>304</v>
      </c>
      <c r="B148" s="1" t="s">
        <v>146</v>
      </c>
      <c r="C148" s="1" t="s">
        <v>321</v>
      </c>
      <c r="D148" s="1" t="s">
        <v>335</v>
      </c>
      <c r="E148" s="1" t="s">
        <v>329</v>
      </c>
      <c r="F148" s="21">
        <v>20352.154283600001</v>
      </c>
      <c r="G148" s="22">
        <v>2.1412872121100004</v>
      </c>
      <c r="H148" s="22">
        <v>2.7079926870999999E-2</v>
      </c>
      <c r="I148" s="22">
        <v>27593268182.599998</v>
      </c>
      <c r="J148" s="22">
        <v>5176034.63423</v>
      </c>
      <c r="K148" s="22">
        <f t="shared" si="64"/>
        <v>3.9319973148957956</v>
      </c>
      <c r="L148" s="22">
        <f t="shared" si="65"/>
        <v>4.1369259740831383</v>
      </c>
      <c r="M148" s="22">
        <f t="shared" si="66"/>
        <v>5.3309666825103932</v>
      </c>
      <c r="N148" s="21">
        <v>17917.033240199999</v>
      </c>
      <c r="O148" s="21">
        <v>2435.1210261000001</v>
      </c>
      <c r="P148" s="22">
        <v>1.88586829991</v>
      </c>
      <c r="Q148" s="22">
        <v>0.255418912966</v>
      </c>
      <c r="R148" s="23">
        <v>11062.225910200001</v>
      </c>
      <c r="S148" s="23">
        <v>6854.8073239699997</v>
      </c>
      <c r="T148" s="23">
        <v>0</v>
      </c>
      <c r="U148" s="23">
        <v>1524.38568444</v>
      </c>
      <c r="V148" s="23">
        <v>910.73534279199998</v>
      </c>
      <c r="W148" s="23">
        <v>0</v>
      </c>
      <c r="X148" s="22">
        <v>0.9839542658160001</v>
      </c>
      <c r="Y148" s="22">
        <v>0.90191403437000006</v>
      </c>
      <c r="Z148" s="22">
        <v>0</v>
      </c>
      <c r="AA148" s="22">
        <v>0.13558987230399999</v>
      </c>
      <c r="AB148" s="22">
        <v>0.119829040815</v>
      </c>
      <c r="AC148" s="22">
        <v>0</v>
      </c>
      <c r="AD148" s="21">
        <v>289.42295212099998</v>
      </c>
      <c r="AE148" s="21">
        <v>1371.8552846</v>
      </c>
      <c r="AF148" s="21">
        <v>9400.9476792700007</v>
      </c>
      <c r="AG148" s="21">
        <v>182.977733747</v>
      </c>
      <c r="AH148" s="21">
        <v>1341.40795256</v>
      </c>
      <c r="AI148" s="21">
        <v>0</v>
      </c>
      <c r="AJ148" s="21">
        <v>182.029893988</v>
      </c>
      <c r="AK148" s="21">
        <v>839.92587047099994</v>
      </c>
      <c r="AL148" s="21">
        <v>5832.8515576499994</v>
      </c>
      <c r="AM148" s="21">
        <v>109.31898053399999</v>
      </c>
      <c r="AN148" s="21">
        <v>801.41636225899992</v>
      </c>
      <c r="AO148" s="21">
        <v>0</v>
      </c>
      <c r="AP148" s="22">
        <v>2.3950391012299999E-2</v>
      </c>
      <c r="AQ148" s="22">
        <v>0.11051235921999999</v>
      </c>
      <c r="AR148" s="22">
        <v>0.76745128369100002</v>
      </c>
      <c r="AS148" s="22">
        <v>2.5743367662599999E-2</v>
      </c>
      <c r="AT148" s="22">
        <v>0.12202271679</v>
      </c>
      <c r="AU148" s="22">
        <v>0.83618818217099999</v>
      </c>
      <c r="AV148" s="22">
        <v>1.6275361130600002E-2</v>
      </c>
      <c r="AW148" s="22">
        <v>0.119314511182</v>
      </c>
      <c r="AX148" s="22">
        <v>0</v>
      </c>
      <c r="AY148" s="22">
        <v>1.43835293885E-2</v>
      </c>
      <c r="AZ148" s="22">
        <v>0.105445511334</v>
      </c>
      <c r="BA148" s="22">
        <v>0</v>
      </c>
      <c r="BB148" s="7">
        <v>15267.1924129</v>
      </c>
      <c r="BC148" s="1">
        <v>0.241730546164</v>
      </c>
      <c r="BD148" s="9">
        <v>0.878</v>
      </c>
      <c r="BE148" s="9">
        <v>9.4E-2</v>
      </c>
      <c r="BF148" s="10">
        <v>2.8000000000000001E-2</v>
      </c>
      <c r="BG148" s="11">
        <v>-32.519033917900003</v>
      </c>
      <c r="BH148" s="15">
        <v>473</v>
      </c>
      <c r="BI148" s="20">
        <v>1.0014084507042254</v>
      </c>
      <c r="BJ148" s="15">
        <v>473.66619718309857</v>
      </c>
      <c r="BK148" s="13">
        <f t="shared" si="77"/>
        <v>9449663997.5046558</v>
      </c>
      <c r="BL148" s="13">
        <f t="shared" si="67"/>
        <v>18143604185.095348</v>
      </c>
      <c r="BM148" s="14">
        <v>34.246265918813876</v>
      </c>
      <c r="BN148" s="14">
        <v>65.753734081186138</v>
      </c>
      <c r="BO148" s="16">
        <v>3.362966174661747</v>
      </c>
      <c r="BP148" s="16">
        <v>1.2343194531176083</v>
      </c>
      <c r="BQ148" s="16">
        <v>2.3635181818181814</v>
      </c>
      <c r="BR148" s="16">
        <v>0.30182745454545457</v>
      </c>
      <c r="BS148" s="16">
        <v>3.2863636363636366E-2</v>
      </c>
      <c r="BT148" s="16">
        <v>51.945454545454545</v>
      </c>
      <c r="BU148" s="16">
        <v>21.255454545454544</v>
      </c>
      <c r="BV148" s="16">
        <v>3.2863636363636362</v>
      </c>
      <c r="BW148" s="16">
        <f>BT148*4</f>
        <v>207.78181818181818</v>
      </c>
      <c r="BX148" s="16">
        <f>BU148*1.29</f>
        <v>27.419536363636361</v>
      </c>
      <c r="BY148" s="16">
        <f>BV148*1.47</f>
        <v>4.8309545454545448</v>
      </c>
      <c r="BZ148" s="16">
        <v>8.5599999999999999E-3</v>
      </c>
      <c r="CA148" s="16">
        <f t="shared" si="78"/>
        <v>185.16625142857143</v>
      </c>
      <c r="CB148" s="9">
        <f t="shared" si="79"/>
        <v>231.48417168921691</v>
      </c>
      <c r="CC148" s="16">
        <f t="shared" si="80"/>
        <v>2.798212055063551</v>
      </c>
      <c r="CD148" s="16">
        <f t="shared" si="81"/>
        <v>9.119803771320214</v>
      </c>
      <c r="CE148" s="17">
        <f t="shared" si="82"/>
        <v>243.40218751560067</v>
      </c>
      <c r="CF148" s="9">
        <f t="shared" si="83"/>
        <v>117.26034804617278</v>
      </c>
      <c r="CG148" s="18">
        <v>25681181.81818182</v>
      </c>
      <c r="CH148" s="9">
        <f t="shared" si="68"/>
        <v>187.35693099352901</v>
      </c>
      <c r="CI148" s="9">
        <f t="shared" si="69"/>
        <v>20.181841692298335</v>
      </c>
      <c r="CJ148" s="5">
        <v>62.920805341840548</v>
      </c>
      <c r="CK148" s="5">
        <v>29.075369932987332</v>
      </c>
      <c r="CL148" s="5">
        <v>73.701718356872888</v>
      </c>
    </row>
    <row r="149" spans="1:90" x14ac:dyDescent="0.25">
      <c r="A149" s="2" t="s">
        <v>305</v>
      </c>
      <c r="B149" s="1" t="s">
        <v>147</v>
      </c>
      <c r="C149" s="1" t="s">
        <v>327</v>
      </c>
      <c r="D149" s="1" t="s">
        <v>345</v>
      </c>
      <c r="E149" s="1" t="s">
        <v>331</v>
      </c>
      <c r="F149" s="21">
        <v>1083.36755371</v>
      </c>
      <c r="G149" s="22">
        <v>9.3628642725800001E-2</v>
      </c>
      <c r="H149" s="22">
        <v>3.26430981793E-6</v>
      </c>
      <c r="I149" s="22">
        <v>4951793882.5900002</v>
      </c>
      <c r="J149" s="22">
        <v>185237.933785</v>
      </c>
      <c r="K149" s="22">
        <f t="shared" si="64"/>
        <v>5.8485188836506437</v>
      </c>
      <c r="L149" s="22">
        <f t="shared" si="65"/>
        <v>5.0545069691001796</v>
      </c>
      <c r="M149" s="22">
        <f t="shared" si="66"/>
        <v>26.732072537244967</v>
      </c>
      <c r="N149" s="21">
        <v>1083.36755371</v>
      </c>
      <c r="O149" s="21">
        <v>0</v>
      </c>
      <c r="P149" s="22">
        <v>9.3628642725800001E-2</v>
      </c>
      <c r="Q149" s="22">
        <v>0</v>
      </c>
      <c r="R149" s="23">
        <v>934.98481188999995</v>
      </c>
      <c r="S149" s="23">
        <v>148.382738956</v>
      </c>
      <c r="T149" s="23">
        <v>0</v>
      </c>
      <c r="U149" s="23">
        <v>0</v>
      </c>
      <c r="V149" s="23">
        <v>0</v>
      </c>
      <c r="W149" s="23">
        <v>0</v>
      </c>
      <c r="X149" s="22">
        <v>8.3164302016600009E-2</v>
      </c>
      <c r="Y149" s="22">
        <v>1.0464340770700001E-2</v>
      </c>
      <c r="Z149" s="22">
        <v>0</v>
      </c>
      <c r="AA149" s="22">
        <v>0</v>
      </c>
      <c r="AB149" s="22">
        <v>0</v>
      </c>
      <c r="AC149" s="22">
        <v>0</v>
      </c>
      <c r="AD149" s="21">
        <v>0</v>
      </c>
      <c r="AE149" s="21">
        <v>0</v>
      </c>
      <c r="AF149" s="21">
        <v>934.98481301699996</v>
      </c>
      <c r="AG149" s="21">
        <v>0</v>
      </c>
      <c r="AH149" s="21">
        <v>0</v>
      </c>
      <c r="AI149" s="21">
        <v>0</v>
      </c>
      <c r="AJ149" s="21">
        <v>0</v>
      </c>
      <c r="AK149" s="21">
        <v>0</v>
      </c>
      <c r="AL149" s="21">
        <v>148.38273900900001</v>
      </c>
      <c r="AM149" s="21">
        <v>0</v>
      </c>
      <c r="AN149" s="21">
        <v>0</v>
      </c>
      <c r="AO149" s="21">
        <v>0</v>
      </c>
      <c r="AP149" s="22">
        <v>0</v>
      </c>
      <c r="AQ149" s="22">
        <v>0</v>
      </c>
      <c r="AR149" s="22">
        <v>1.0464340774700001E-2</v>
      </c>
      <c r="AS149" s="22">
        <v>0</v>
      </c>
      <c r="AT149" s="22">
        <v>0</v>
      </c>
      <c r="AU149" s="22">
        <v>8.3164301958300005E-2</v>
      </c>
      <c r="AV149" s="22">
        <v>0</v>
      </c>
      <c r="AW149" s="22">
        <v>0</v>
      </c>
      <c r="AX149" s="22">
        <v>0</v>
      </c>
      <c r="AY149" s="22">
        <v>0</v>
      </c>
      <c r="AZ149" s="22">
        <v>0</v>
      </c>
      <c r="BA149" s="22">
        <v>0</v>
      </c>
      <c r="BB149" s="7">
        <v>2368.5701608200002</v>
      </c>
      <c r="BC149" s="1">
        <v>8.0268211085500002E-2</v>
      </c>
      <c r="BD149" s="9">
        <v>1</v>
      </c>
      <c r="BE149" s="9">
        <v>0</v>
      </c>
      <c r="BF149" s="10">
        <v>0</v>
      </c>
      <c r="BG149" s="11">
        <v>-22.388841051099998</v>
      </c>
      <c r="BH149" s="15">
        <v>253.55555555555554</v>
      </c>
      <c r="BI149" s="20">
        <v>1.0012853470437018</v>
      </c>
      <c r="BJ149" s="15">
        <v>253.88146243930302</v>
      </c>
      <c r="BK149" s="13">
        <f t="shared" si="77"/>
        <v>264719146.21491361</v>
      </c>
      <c r="BL149" s="13">
        <f t="shared" si="67"/>
        <v>4687074736.3750868</v>
      </c>
      <c r="BM149" s="14">
        <v>5.3459241739774139</v>
      </c>
      <c r="BN149" s="14">
        <v>94.654075826022591</v>
      </c>
      <c r="BO149" s="16">
        <v>6.6243835935716533E-2</v>
      </c>
      <c r="BP149" s="16">
        <v>2.4313671651131123E-2</v>
      </c>
      <c r="BQ149" s="16">
        <v>0.1365827272727273</v>
      </c>
      <c r="BR149" s="16">
        <v>1.2638E-2</v>
      </c>
      <c r="BS149" s="16">
        <v>3.0454545454545452E-3</v>
      </c>
      <c r="BT149" s="5">
        <v>3.0018181818181819</v>
      </c>
      <c r="BU149" s="5">
        <v>0.8899999999999999</v>
      </c>
      <c r="BV149" s="5">
        <v>0.30454545454545451</v>
      </c>
      <c r="BW149" s="16">
        <f>BT149*5.66</f>
        <v>16.990290909090909</v>
      </c>
      <c r="BX149" s="16">
        <f>BU149*1.36</f>
        <v>1.2103999999999999</v>
      </c>
      <c r="BY149" s="16">
        <f>BV149*1.36</f>
        <v>0.41418181818181815</v>
      </c>
      <c r="BZ149" s="16">
        <v>2.96E-3</v>
      </c>
      <c r="CA149" s="16">
        <f t="shared" si="78"/>
        <v>3.7001268571428572</v>
      </c>
      <c r="CB149" s="9">
        <f t="shared" si="79"/>
        <v>4.559784040241821</v>
      </c>
      <c r="CC149" s="16">
        <f t="shared" si="80"/>
        <v>5.5119287754245211E-2</v>
      </c>
      <c r="CD149" s="16">
        <f t="shared" si="81"/>
        <v>0.17964224241834062</v>
      </c>
      <c r="CE149" s="17">
        <f t="shared" si="82"/>
        <v>4.7945455704144067</v>
      </c>
      <c r="CF149" s="9">
        <f t="shared" si="83"/>
        <v>2.3097988068574566</v>
      </c>
      <c r="CG149" s="18">
        <v>11499190.909090908</v>
      </c>
      <c r="CH149" s="9">
        <f t="shared" si="68"/>
        <v>2.7922759617182296</v>
      </c>
      <c r="CI149" s="9">
        <f t="shared" si="69"/>
        <v>0.33829865263565478</v>
      </c>
      <c r="CJ149" s="5">
        <v>0</v>
      </c>
      <c r="CK149" s="5">
        <v>0</v>
      </c>
      <c r="CL149" s="5">
        <v>0</v>
      </c>
    </row>
    <row r="150" spans="1:90" x14ac:dyDescent="0.25">
      <c r="A150" s="2" t="s">
        <v>306</v>
      </c>
      <c r="B150" s="1" t="s">
        <v>148</v>
      </c>
      <c r="C150" s="1" t="s">
        <v>327</v>
      </c>
      <c r="D150" s="1" t="s">
        <v>345</v>
      </c>
      <c r="E150" s="1" t="s">
        <v>331</v>
      </c>
      <c r="F150" s="21">
        <v>6.9376887969299998</v>
      </c>
      <c r="G150" s="22">
        <v>5.5658595791799998E-4</v>
      </c>
      <c r="H150" s="22">
        <v>0</v>
      </c>
      <c r="I150" s="22">
        <v>100306043.516</v>
      </c>
      <c r="J150" s="22">
        <v>9062.5010939200001</v>
      </c>
      <c r="K150" s="22">
        <f t="shared" si="64"/>
        <v>0.76553798173712451</v>
      </c>
      <c r="L150" s="22">
        <f t="shared" si="65"/>
        <v>0.61416374149892417</v>
      </c>
      <c r="M150" s="22">
        <f t="shared" si="66"/>
        <v>11.068251741596475</v>
      </c>
      <c r="N150" s="21">
        <v>1.2941907458899999</v>
      </c>
      <c r="O150" s="21">
        <v>5.6434981040199999</v>
      </c>
      <c r="P150" s="22">
        <v>1.0365149483899999E-4</v>
      </c>
      <c r="Q150" s="22">
        <v>4.5293446058299996E-4</v>
      </c>
      <c r="R150" s="23">
        <v>1.0688435807000001</v>
      </c>
      <c r="S150" s="23">
        <v>0.225347187881</v>
      </c>
      <c r="T150" s="23">
        <v>0</v>
      </c>
      <c r="U150" s="23">
        <v>4.6794717733400004</v>
      </c>
      <c r="V150" s="23">
        <v>0.96402634681199995</v>
      </c>
      <c r="W150" s="23">
        <v>0</v>
      </c>
      <c r="X150" s="22">
        <v>9.5070665962099997E-5</v>
      </c>
      <c r="Y150" s="22">
        <v>8.58082820658E-6</v>
      </c>
      <c r="Z150" s="22">
        <v>0</v>
      </c>
      <c r="AA150" s="22">
        <v>4.1622601604599999E-4</v>
      </c>
      <c r="AB150" s="22">
        <v>3.6708443394699999E-5</v>
      </c>
      <c r="AC150" s="22">
        <v>0</v>
      </c>
      <c r="AD150" s="21">
        <v>0</v>
      </c>
      <c r="AE150" s="21">
        <v>7.6851903978600006E-2</v>
      </c>
      <c r="AF150" s="21">
        <v>0.99199167162099999</v>
      </c>
      <c r="AG150" s="21">
        <v>0</v>
      </c>
      <c r="AH150" s="21">
        <v>4.6794717404899995</v>
      </c>
      <c r="AI150" s="21">
        <v>0</v>
      </c>
      <c r="AJ150" s="21">
        <v>0</v>
      </c>
      <c r="AK150" s="21">
        <v>1.6016987410600002E-2</v>
      </c>
      <c r="AL150" s="21">
        <v>0.20933020149599998</v>
      </c>
      <c r="AM150" s="21">
        <v>0</v>
      </c>
      <c r="AN150" s="21">
        <v>0.96402634434500001</v>
      </c>
      <c r="AO150" s="21">
        <v>0</v>
      </c>
      <c r="AP150" s="22">
        <v>0</v>
      </c>
      <c r="AQ150" s="22">
        <v>6.0989897126899993E-7</v>
      </c>
      <c r="AR150" s="22">
        <v>7.9709293021499994E-6</v>
      </c>
      <c r="AS150" s="22">
        <v>0</v>
      </c>
      <c r="AT150" s="22">
        <v>6.8357633992199996E-6</v>
      </c>
      <c r="AU150" s="22">
        <v>8.8234903191200008E-5</v>
      </c>
      <c r="AV150" s="22">
        <v>0</v>
      </c>
      <c r="AW150" s="22">
        <v>4.16226015883E-4</v>
      </c>
      <c r="AX150" s="22">
        <v>0</v>
      </c>
      <c r="AY150" s="22">
        <v>0</v>
      </c>
      <c r="AZ150" s="22">
        <v>3.6708443316600004E-5</v>
      </c>
      <c r="BA150" s="22">
        <v>0</v>
      </c>
      <c r="BB150" s="7">
        <v>395.80366695999999</v>
      </c>
      <c r="BC150" s="1">
        <v>1.3413346512300001E-2</v>
      </c>
      <c r="BD150" s="9">
        <v>0.95899999999999996</v>
      </c>
      <c r="BE150" s="9">
        <v>4.1000000000000002E-2</v>
      </c>
      <c r="BF150" s="10">
        <v>0</v>
      </c>
      <c r="BG150" s="11">
        <v>-18.78259808</v>
      </c>
      <c r="BH150" s="12">
        <v>137.08172730000001</v>
      </c>
      <c r="BI150" s="20">
        <v>1</v>
      </c>
      <c r="BJ150" s="15">
        <v>137.08172730000001</v>
      </c>
      <c r="BK150" s="13">
        <f t="shared" si="77"/>
        <v>1003059.2454593414</v>
      </c>
      <c r="BL150" s="13">
        <f t="shared" si="67"/>
        <v>99302984.270540684</v>
      </c>
      <c r="BM150" s="14">
        <v>0.99999881392923406</v>
      </c>
      <c r="BN150" s="14">
        <v>99.000001186070776</v>
      </c>
      <c r="BO150" s="16">
        <v>5.4891044776119398E-2</v>
      </c>
      <c r="BP150" s="16">
        <v>2.0146823027718551E-2</v>
      </c>
      <c r="BQ150" s="16">
        <v>2.6969090909090901E-2</v>
      </c>
      <c r="BR150" s="16">
        <v>4.6472727272727282E-3</v>
      </c>
      <c r="BS150" s="16">
        <v>2.1000000000000003E-3</v>
      </c>
      <c r="BT150" s="16">
        <v>0.59272727272727266</v>
      </c>
      <c r="BU150" s="16">
        <v>0.32727272727272727</v>
      </c>
      <c r="BV150" s="16">
        <v>0.20999999999999996</v>
      </c>
      <c r="BW150" s="16">
        <f>BT150*5.66</f>
        <v>3.3548363636363634</v>
      </c>
      <c r="BX150" s="16">
        <f>BU150*1.36</f>
        <v>0.44509090909090909</v>
      </c>
      <c r="BY150" s="16">
        <f>BV150*1.36</f>
        <v>0.28559999999999997</v>
      </c>
      <c r="BZ150" s="16">
        <v>2.96E-3</v>
      </c>
      <c r="CA150" s="16">
        <f t="shared" si="78"/>
        <v>0.73061257142857128</v>
      </c>
      <c r="CB150" s="9">
        <f t="shared" si="79"/>
        <v>3.7783335820895516</v>
      </c>
      <c r="CC150" s="16">
        <f t="shared" si="80"/>
        <v>4.5673008656716418E-2</v>
      </c>
      <c r="CD150" s="16">
        <f t="shared" si="81"/>
        <v>0.14885536492537313</v>
      </c>
      <c r="CE150" s="17">
        <f t="shared" si="82"/>
        <v>3.9728619556716414</v>
      </c>
      <c r="CF150" s="9">
        <f t="shared" si="83"/>
        <v>1.9139481876332622</v>
      </c>
      <c r="CG150" s="18">
        <v>8186363.6363636358</v>
      </c>
      <c r="CH150" s="9">
        <f t="shared" si="68"/>
        <v>0.89030168556274103</v>
      </c>
      <c r="CI150" s="9">
        <f t="shared" si="69"/>
        <v>8.7618240579167311E-2</v>
      </c>
      <c r="CJ150" s="5">
        <v>0</v>
      </c>
      <c r="CK150" s="5">
        <v>0</v>
      </c>
      <c r="CL150" s="5">
        <v>0</v>
      </c>
    </row>
    <row r="151" spans="1:90" x14ac:dyDescent="0.25">
      <c r="A151" s="2" t="s">
        <v>307</v>
      </c>
      <c r="B151" s="1" t="s">
        <v>149</v>
      </c>
      <c r="C151" s="1" t="s">
        <v>324</v>
      </c>
      <c r="D151" s="1" t="s">
        <v>343</v>
      </c>
      <c r="E151" s="1" t="s">
        <v>344</v>
      </c>
      <c r="F151" s="21">
        <v>1802.9902960899999</v>
      </c>
      <c r="G151" s="22">
        <v>0.17142707959800002</v>
      </c>
      <c r="H151" s="22">
        <v>8.3049977547499993E-9</v>
      </c>
      <c r="I151" s="22">
        <v>1546815634.47</v>
      </c>
      <c r="J151" s="22">
        <v>2393065.8292800002</v>
      </c>
      <c r="K151" s="22">
        <f t="shared" si="64"/>
        <v>0.7534227742629479</v>
      </c>
      <c r="L151" s="22">
        <f t="shared" si="65"/>
        <v>0.71634920151601988</v>
      </c>
      <c r="M151" s="22">
        <f t="shared" si="66"/>
        <v>0.64637404267954857</v>
      </c>
      <c r="N151" s="21">
        <v>7.2985838259699998</v>
      </c>
      <c r="O151" s="21">
        <v>1795.6917117099999</v>
      </c>
      <c r="P151" s="22">
        <v>7.1020255595000007E-4</v>
      </c>
      <c r="Q151" s="22">
        <v>0.17071687698599999</v>
      </c>
      <c r="R151" s="23">
        <v>5.4670521441100002</v>
      </c>
      <c r="S151" s="23">
        <v>1.8315317197400001</v>
      </c>
      <c r="T151" s="23">
        <v>0</v>
      </c>
      <c r="U151" s="23">
        <v>1465.63763997</v>
      </c>
      <c r="V151" s="23">
        <v>330.05407161199997</v>
      </c>
      <c r="W151" s="23">
        <v>0</v>
      </c>
      <c r="X151" s="22">
        <v>4.8627910266700001E-4</v>
      </c>
      <c r="Y151" s="22">
        <v>2.2392345230500002E-4</v>
      </c>
      <c r="Z151" s="22">
        <v>0</v>
      </c>
      <c r="AA151" s="22">
        <v>0.13036439671899999</v>
      </c>
      <c r="AB151" s="22">
        <v>4.0352480144300006E-2</v>
      </c>
      <c r="AC151" s="22">
        <v>0</v>
      </c>
      <c r="AD151" s="21">
        <v>0</v>
      </c>
      <c r="AE151" s="21">
        <v>4.7979564727800001</v>
      </c>
      <c r="AF151" s="21">
        <v>0.66909569564799998</v>
      </c>
      <c r="AG151" s="21">
        <v>0</v>
      </c>
      <c r="AH151" s="21">
        <v>1465.6376402000001</v>
      </c>
      <c r="AI151" s="21">
        <v>0</v>
      </c>
      <c r="AJ151" s="21">
        <v>0</v>
      </c>
      <c r="AK151" s="21">
        <v>1.6056793120500001</v>
      </c>
      <c r="AL151" s="21">
        <v>0.22585239964700002</v>
      </c>
      <c r="AM151" s="21">
        <v>0</v>
      </c>
      <c r="AN151" s="21">
        <v>330.05407183</v>
      </c>
      <c r="AO151" s="21">
        <v>0</v>
      </c>
      <c r="AP151" s="22">
        <v>0</v>
      </c>
      <c r="AQ151" s="22">
        <v>1.9631069060100002E-4</v>
      </c>
      <c r="AR151" s="22">
        <v>2.7612762000199998E-5</v>
      </c>
      <c r="AS151" s="22">
        <v>0</v>
      </c>
      <c r="AT151" s="22">
        <v>4.2676490003899998E-4</v>
      </c>
      <c r="AU151" s="22">
        <v>5.9514203726499998E-5</v>
      </c>
      <c r="AV151" s="22">
        <v>0</v>
      </c>
      <c r="AW151" s="22">
        <v>0.13036439678</v>
      </c>
      <c r="AX151" s="22">
        <v>0</v>
      </c>
      <c r="AY151" s="22">
        <v>0</v>
      </c>
      <c r="AZ151" s="22">
        <v>4.03524801113E-2</v>
      </c>
      <c r="BA151" s="22">
        <v>0</v>
      </c>
      <c r="BB151" s="7">
        <v>2653.4816811199998</v>
      </c>
      <c r="BC151" s="1">
        <v>0.14667857119200001</v>
      </c>
      <c r="BD151" s="9">
        <v>0.20200000000000001</v>
      </c>
      <c r="BE151" s="9">
        <v>0.79800000000000004</v>
      </c>
      <c r="BF151" s="10">
        <v>0</v>
      </c>
      <c r="BG151" s="11">
        <v>-12.686509620700001</v>
      </c>
      <c r="BH151" s="15">
        <v>440.33333333333331</v>
      </c>
      <c r="BI151" s="20">
        <v>0.99955357142857149</v>
      </c>
      <c r="BJ151" s="15">
        <v>440.13675595238095</v>
      </c>
      <c r="BK151" s="13">
        <f t="shared" si="77"/>
        <v>1550453.215445631</v>
      </c>
      <c r="BL151" s="13">
        <f t="shared" si="67"/>
        <v>1545265181.2545547</v>
      </c>
      <c r="BM151" s="14">
        <v>0.10023516577506518</v>
      </c>
      <c r="BN151" s="14">
        <v>99.899764834224953</v>
      </c>
      <c r="BO151" s="16">
        <v>1.4171209147800936</v>
      </c>
      <c r="BP151" s="16">
        <v>0.59443439313852586</v>
      </c>
      <c r="BQ151" s="16">
        <v>0.67464090909090901</v>
      </c>
      <c r="BR151" s="16">
        <v>4.5762727272727274E-2</v>
      </c>
      <c r="BS151" s="16">
        <v>2.7663636363636366E-2</v>
      </c>
      <c r="BT151" s="5">
        <v>14.82727272727273</v>
      </c>
      <c r="BU151" s="5">
        <v>3.2227272727272722</v>
      </c>
      <c r="BV151" s="5">
        <v>2.7663636363636361</v>
      </c>
      <c r="BW151" s="16">
        <f>BT151*6.87</f>
        <v>101.86336363636366</v>
      </c>
      <c r="BX151" s="16">
        <f>BU151*1.57</f>
        <v>5.0596818181818177</v>
      </c>
      <c r="BY151" s="16">
        <f>BV151*0.61</f>
        <v>1.6874818181818181</v>
      </c>
      <c r="BZ151" s="16">
        <v>2.66E-3</v>
      </c>
      <c r="CA151" s="16">
        <f t="shared" si="78"/>
        <v>16.424170000000004</v>
      </c>
      <c r="CB151" s="9">
        <f t="shared" si="79"/>
        <v>97.545156300696434</v>
      </c>
      <c r="CC151" s="16">
        <f t="shared" si="80"/>
        <v>1.17913907582469</v>
      </c>
      <c r="CD151" s="16">
        <f t="shared" si="81"/>
        <v>3.842995734064484</v>
      </c>
      <c r="CE151" s="17">
        <f t="shared" si="82"/>
        <v>102.56729111058561</v>
      </c>
      <c r="CF151" s="9">
        <f t="shared" si="83"/>
        <v>56.471267348159955</v>
      </c>
      <c r="CG151" s="18">
        <v>33394727.272727273</v>
      </c>
      <c r="CH151" s="9">
        <f t="shared" si="68"/>
        <v>92.156843456329383</v>
      </c>
      <c r="CI151" s="9">
        <f t="shared" si="69"/>
        <v>9.4865489006282449</v>
      </c>
      <c r="CJ151" s="5">
        <v>0</v>
      </c>
      <c r="CK151" s="5">
        <v>3.2279655379316199</v>
      </c>
      <c r="CL151" s="5">
        <v>3.2279655379316208</v>
      </c>
    </row>
    <row r="152" spans="1:90" x14ac:dyDescent="0.25">
      <c r="A152" s="2" t="s">
        <v>308</v>
      </c>
      <c r="B152" s="1" t="s">
        <v>150</v>
      </c>
      <c r="C152" s="1" t="s">
        <v>334</v>
      </c>
      <c r="D152" s="1" t="s">
        <v>334</v>
      </c>
      <c r="E152" s="1" t="s">
        <v>339</v>
      </c>
      <c r="F152" s="21">
        <v>926.94896657799995</v>
      </c>
      <c r="G152" s="22">
        <v>7.7584528511300002E-2</v>
      </c>
      <c r="H152" s="22">
        <v>4.4776916678999999E-4</v>
      </c>
      <c r="I152" s="22">
        <v>3092751387.9200001</v>
      </c>
      <c r="J152" s="22">
        <v>252120.72309000001</v>
      </c>
      <c r="K152" s="22">
        <f t="shared" si="64"/>
        <v>3.6766075997929977</v>
      </c>
      <c r="L152" s="22">
        <f t="shared" si="65"/>
        <v>3.0772769314803412</v>
      </c>
      <c r="M152" s="22">
        <f t="shared" si="66"/>
        <v>12.266946366070728</v>
      </c>
      <c r="N152" s="21">
        <v>340.15926914300002</v>
      </c>
      <c r="O152" s="21">
        <v>586.78969995800003</v>
      </c>
      <c r="P152" s="22">
        <v>2.8472650381000001E-2</v>
      </c>
      <c r="Q152" s="22">
        <v>4.9111878193199995E-2</v>
      </c>
      <c r="R152" s="23">
        <v>302.337352872</v>
      </c>
      <c r="S152" s="23">
        <v>37.821916416800001</v>
      </c>
      <c r="T152" s="23">
        <v>0</v>
      </c>
      <c r="U152" s="23">
        <v>521.445654719</v>
      </c>
      <c r="V152" s="23">
        <v>65.344044339999996</v>
      </c>
      <c r="W152" s="23">
        <v>0</v>
      </c>
      <c r="X152" s="22">
        <v>2.6892067795200002E-2</v>
      </c>
      <c r="Y152" s="22">
        <v>1.5805825523000001E-3</v>
      </c>
      <c r="Z152" s="22">
        <v>0</v>
      </c>
      <c r="AA152" s="22">
        <v>4.6381142527199999E-2</v>
      </c>
      <c r="AB152" s="22">
        <v>2.7307356825400004E-3</v>
      </c>
      <c r="AC152" s="22">
        <v>0</v>
      </c>
      <c r="AD152" s="21">
        <v>27.039388190900002</v>
      </c>
      <c r="AE152" s="21">
        <v>41.8240326162</v>
      </c>
      <c r="AF152" s="21">
        <v>233.47393314999999</v>
      </c>
      <c r="AG152" s="21">
        <v>175.23298030800001</v>
      </c>
      <c r="AH152" s="21">
        <v>346.21267421200002</v>
      </c>
      <c r="AI152" s="21">
        <v>0</v>
      </c>
      <c r="AJ152" s="21">
        <v>3.3701416902100001</v>
      </c>
      <c r="AK152" s="21">
        <v>5.2485722511600006</v>
      </c>
      <c r="AL152" s="21">
        <v>29.203202407000003</v>
      </c>
      <c r="AM152" s="21">
        <v>21.9590124986</v>
      </c>
      <c r="AN152" s="21">
        <v>43.385031946799998</v>
      </c>
      <c r="AO152" s="21">
        <v>0</v>
      </c>
      <c r="AP152" s="22">
        <v>1.40838637261E-4</v>
      </c>
      <c r="AQ152" s="22">
        <v>2.1933848197400001E-4</v>
      </c>
      <c r="AR152" s="22">
        <v>1.2204054362199999E-3</v>
      </c>
      <c r="AS152" s="22">
        <v>2.4050784673400002E-3</v>
      </c>
      <c r="AT152" s="22">
        <v>3.7201315256100002E-3</v>
      </c>
      <c r="AU152" s="22">
        <v>2.07668577947E-2</v>
      </c>
      <c r="AV152" s="22">
        <v>1.5586486841299999E-2</v>
      </c>
      <c r="AW152" s="22">
        <v>3.07946556755E-2</v>
      </c>
      <c r="AX152" s="22">
        <v>0</v>
      </c>
      <c r="AY152" s="22">
        <v>9.1766984542999996E-4</v>
      </c>
      <c r="AZ152" s="22">
        <v>1.8130658388399998E-3</v>
      </c>
      <c r="BA152" s="22">
        <v>0</v>
      </c>
      <c r="BB152" s="7">
        <v>134.13565883800001</v>
      </c>
      <c r="BC152" s="1">
        <v>2.64545326424E-3</v>
      </c>
      <c r="BD152" s="9">
        <v>0.84</v>
      </c>
      <c r="BE152" s="9">
        <v>7.5999999999999998E-2</v>
      </c>
      <c r="BF152" s="10">
        <v>8.4000000000000005E-2</v>
      </c>
      <c r="BG152" s="11">
        <v>-7.9499662926800001</v>
      </c>
      <c r="BH152" s="15">
        <v>150.44444444444446</v>
      </c>
      <c r="BI152" s="20">
        <v>1</v>
      </c>
      <c r="BJ152" s="15">
        <v>150.44444444444446</v>
      </c>
      <c r="BK152" s="13">
        <f t="shared" si="77"/>
        <v>244909791.25826427</v>
      </c>
      <c r="BL152" s="13">
        <f t="shared" si="67"/>
        <v>2847841596.661736</v>
      </c>
      <c r="BM152" s="14">
        <v>7.9188321510373969</v>
      </c>
      <c r="BN152" s="14">
        <v>92.081167848962608</v>
      </c>
      <c r="BO152" s="16">
        <v>2.6757354593329432</v>
      </c>
      <c r="BP152" s="16">
        <v>1.1223807138677588</v>
      </c>
      <c r="BQ152" s="16">
        <v>2.2235850000000004</v>
      </c>
      <c r="BR152" s="16">
        <v>0.81271763636363614</v>
      </c>
      <c r="BS152" s="16">
        <v>3.8080000000000003E-2</v>
      </c>
      <c r="BT152" s="5">
        <v>48.870000000000005</v>
      </c>
      <c r="BU152" s="5">
        <v>57.233636363636357</v>
      </c>
      <c r="BV152" s="5">
        <v>3.8079999999999998</v>
      </c>
      <c r="BW152" s="16">
        <f>BT152*3.53</f>
        <v>172.5111</v>
      </c>
      <c r="BX152" s="16">
        <f>BU152*0.54</f>
        <v>30.906163636363633</v>
      </c>
      <c r="BY152" s="16">
        <f>BV152*1.02</f>
        <v>3.8841600000000001</v>
      </c>
      <c r="BZ152" s="16">
        <v>2.4420000000000001E-2</v>
      </c>
      <c r="CA152" s="16">
        <f t="shared" si="78"/>
        <v>496.96810585714286</v>
      </c>
      <c r="CB152" s="9">
        <f t="shared" si="79"/>
        <v>184.17979078408425</v>
      </c>
      <c r="CC152" s="16">
        <f t="shared" si="80"/>
        <v>2.2263902845289643</v>
      </c>
      <c r="CD152" s="16">
        <f t="shared" si="81"/>
        <v>7.2561486098010537</v>
      </c>
      <c r="CE152" s="17">
        <f t="shared" si="82"/>
        <v>193.66232967841427</v>
      </c>
      <c r="CF152" s="9">
        <f t="shared" si="83"/>
        <v>106.62616781743709</v>
      </c>
      <c r="CG152" s="18">
        <v>1603363.6363636362</v>
      </c>
      <c r="CH152" s="9">
        <f t="shared" si="68"/>
        <v>11.019114682207839</v>
      </c>
      <c r="CI152" s="9">
        <f t="shared" si="69"/>
        <v>1.6106718110919369</v>
      </c>
      <c r="CJ152" s="5">
        <v>0</v>
      </c>
      <c r="CK152" s="5">
        <v>0</v>
      </c>
      <c r="CL152" s="5">
        <v>0</v>
      </c>
    </row>
    <row r="153" spans="1:90" x14ac:dyDescent="0.25">
      <c r="A153" s="2" t="s">
        <v>309</v>
      </c>
      <c r="B153" s="1" t="s">
        <v>151</v>
      </c>
      <c r="C153" s="1" t="s">
        <v>332</v>
      </c>
      <c r="D153" s="1" t="s">
        <v>346</v>
      </c>
      <c r="E153" s="1" t="s">
        <v>346</v>
      </c>
      <c r="F153" s="21">
        <v>204884.29097599999</v>
      </c>
      <c r="G153" s="22">
        <v>24.471365902100001</v>
      </c>
      <c r="H153" s="22">
        <v>1.4340937405099998</v>
      </c>
      <c r="I153" s="22">
        <v>175400050260</v>
      </c>
      <c r="J153" s="22">
        <v>28310771.903999999</v>
      </c>
      <c r="K153" s="22">
        <f t="shared" si="64"/>
        <v>7.2369729681249737</v>
      </c>
      <c r="L153" s="22">
        <f t="shared" si="65"/>
        <v>8.6438356343941525</v>
      </c>
      <c r="M153" s="22">
        <f t="shared" si="66"/>
        <v>6.1955234161318611</v>
      </c>
      <c r="N153" s="21">
        <v>172312.36739500001</v>
      </c>
      <c r="O153" s="21">
        <v>32571.923623899998</v>
      </c>
      <c r="P153" s="22">
        <v>20.263378165700001</v>
      </c>
      <c r="Q153" s="22">
        <v>4.2079877406400001</v>
      </c>
      <c r="R153" s="23">
        <v>59041.939960399999</v>
      </c>
      <c r="S153" s="23">
        <v>86231.085160100003</v>
      </c>
      <c r="T153" s="23">
        <v>27039.342323100002</v>
      </c>
      <c r="U153" s="23">
        <v>9123.3575111200007</v>
      </c>
      <c r="V153" s="23">
        <v>21143.425757100002</v>
      </c>
      <c r="W153" s="23">
        <v>2305.1403293100002</v>
      </c>
      <c r="X153" s="22">
        <v>5.2516165509900006</v>
      </c>
      <c r="Y153" s="22">
        <v>13.2341501978</v>
      </c>
      <c r="Z153" s="22">
        <v>1.77761143086</v>
      </c>
      <c r="AA153" s="22">
        <v>0.81149730778899998</v>
      </c>
      <c r="AB153" s="22">
        <v>3.2449466677399998</v>
      </c>
      <c r="AC153" s="22">
        <v>0.15154376712599998</v>
      </c>
      <c r="AD153" s="21">
        <v>2601.3215158200001</v>
      </c>
      <c r="AE153" s="21">
        <v>33816.271066499998</v>
      </c>
      <c r="AF153" s="21">
        <v>22624.347320500001</v>
      </c>
      <c r="AG153" s="21">
        <v>519.12074701999995</v>
      </c>
      <c r="AH153" s="21">
        <v>8604.2367601799997</v>
      </c>
      <c r="AI153" s="21">
        <v>0</v>
      </c>
      <c r="AJ153" s="21">
        <v>4152.12667083</v>
      </c>
      <c r="AK153" s="21">
        <v>47436.902552699998</v>
      </c>
      <c r="AL153" s="21">
        <v>34642.055926100002</v>
      </c>
      <c r="AM153" s="21">
        <v>1203.0648793</v>
      </c>
      <c r="AN153" s="21">
        <v>19940.360890599997</v>
      </c>
      <c r="AO153" s="21">
        <v>0</v>
      </c>
      <c r="AP153" s="22">
        <v>0.63723966673099997</v>
      </c>
      <c r="AQ153" s="22">
        <v>7.2802875167099996</v>
      </c>
      <c r="AR153" s="22">
        <v>5.3166230065000004</v>
      </c>
      <c r="AS153" s="22">
        <v>0.23138032295200001</v>
      </c>
      <c r="AT153" s="22">
        <v>3.0078633767</v>
      </c>
      <c r="AU153" s="22">
        <v>2.0123728490800001</v>
      </c>
      <c r="AV153" s="22">
        <v>4.6174348455300003E-2</v>
      </c>
      <c r="AW153" s="22">
        <v>0.76532295920799998</v>
      </c>
      <c r="AX153" s="22">
        <v>0</v>
      </c>
      <c r="AY153" s="22">
        <v>0.18463807193599999</v>
      </c>
      <c r="AZ153" s="22">
        <v>3.06030859508</v>
      </c>
      <c r="BA153" s="22">
        <v>0</v>
      </c>
      <c r="BB153" s="7">
        <v>96767.685599499993</v>
      </c>
      <c r="BC153" s="1">
        <v>0.51071834118400006</v>
      </c>
      <c r="BD153" s="9">
        <v>0.47699999999999998</v>
      </c>
      <c r="BE153" s="9">
        <v>0.46300000000000002</v>
      </c>
      <c r="BF153" s="10">
        <v>6.0999999999999999E-2</v>
      </c>
      <c r="BG153" s="11">
        <v>-25.848925019599999</v>
      </c>
      <c r="BH153" s="15">
        <v>557.66666666666663</v>
      </c>
      <c r="BI153" s="20">
        <v>0.9907407407407407</v>
      </c>
      <c r="BJ153" s="15">
        <v>552.503086419753</v>
      </c>
      <c r="BK153" s="13">
        <f t="shared" si="77"/>
        <v>98008629227.858139</v>
      </c>
      <c r="BL153" s="13">
        <f t="shared" si="67"/>
        <v>77391421032.141876</v>
      </c>
      <c r="BM153" s="14">
        <v>55.877195635108102</v>
      </c>
      <c r="BN153" s="14">
        <v>44.122804364891905</v>
      </c>
      <c r="BO153" s="16">
        <v>4.6922195407885896</v>
      </c>
      <c r="BP153" s="16">
        <v>2.5832988900385532</v>
      </c>
      <c r="BQ153" s="16">
        <v>3.0068881818181818</v>
      </c>
      <c r="BR153" s="16">
        <v>0.32789090909090907</v>
      </c>
      <c r="BS153" s="16">
        <v>0.25388181818181821</v>
      </c>
      <c r="BT153" s="5">
        <v>66.085454545454553</v>
      </c>
      <c r="BU153" s="5">
        <v>23.09090909090909</v>
      </c>
      <c r="BV153" s="5">
        <v>25.38818181818182</v>
      </c>
      <c r="BW153" s="16">
        <f>BT153*5.66</f>
        <v>374.04367272727279</v>
      </c>
      <c r="BX153" s="16">
        <f>BU153*1.36</f>
        <v>31.403636363636366</v>
      </c>
      <c r="BY153" s="16">
        <f>BV153*1.36</f>
        <v>34.527927272727275</v>
      </c>
      <c r="BZ153" s="16">
        <v>1.059E-2</v>
      </c>
      <c r="CA153" s="16">
        <f t="shared" si="78"/>
        <v>291.4354384285715</v>
      </c>
      <c r="CB153" s="9">
        <f t="shared" si="79"/>
        <v>322.98111172428122</v>
      </c>
      <c r="CC153" s="16">
        <f t="shared" si="80"/>
        <v>3.9042394725721592</v>
      </c>
      <c r="CD153" s="16">
        <f t="shared" si="81"/>
        <v>12.724517358028525</v>
      </c>
      <c r="CE153" s="17">
        <f t="shared" si="82"/>
        <v>339.60986855488193</v>
      </c>
      <c r="CF153" s="9">
        <f t="shared" si="83"/>
        <v>245.41339455366256</v>
      </c>
      <c r="CG153" s="18">
        <v>169276463.63636366</v>
      </c>
      <c r="CH153" s="9">
        <f t="shared" si="68"/>
        <v>1839.0498589725717</v>
      </c>
      <c r="CI153" s="9">
        <f t="shared" si="69"/>
        <v>222.8412816187317</v>
      </c>
      <c r="CJ153" s="5">
        <v>59.777196874953887</v>
      </c>
      <c r="CK153" s="5">
        <v>11.562915226881316</v>
      </c>
      <c r="CL153" s="5">
        <v>64.428125502178332</v>
      </c>
    </row>
    <row r="154" spans="1:90" x14ac:dyDescent="0.25">
      <c r="A154" s="2" t="s">
        <v>310</v>
      </c>
      <c r="B154" s="1" t="s">
        <v>152</v>
      </c>
      <c r="C154" s="1" t="s">
        <v>321</v>
      </c>
      <c r="D154" s="1" t="s">
        <v>350</v>
      </c>
      <c r="E154" s="1" t="s">
        <v>344</v>
      </c>
      <c r="F154" s="21">
        <v>6491.45094195</v>
      </c>
      <c r="G154" s="22">
        <v>0.69176200146400002</v>
      </c>
      <c r="H154" s="22">
        <v>4.53420437657E-4</v>
      </c>
      <c r="I154" s="22">
        <v>50278768138.900002</v>
      </c>
      <c r="J154" s="22">
        <v>4102639.50135</v>
      </c>
      <c r="K154" s="22">
        <f t="shared" si="64"/>
        <v>1.5822620875692213</v>
      </c>
      <c r="L154" s="22">
        <f t="shared" si="65"/>
        <v>1.6861388899423682</v>
      </c>
      <c r="M154" s="22">
        <f t="shared" si="66"/>
        <v>12.255224501776343</v>
      </c>
      <c r="N154" s="21">
        <v>6458.6731460999999</v>
      </c>
      <c r="O154" s="21">
        <v>32.777806828599999</v>
      </c>
      <c r="P154" s="22">
        <v>0.68827722234400002</v>
      </c>
      <c r="Q154" s="22">
        <v>3.48477962079E-3</v>
      </c>
      <c r="R154" s="23">
        <v>5561.1578675000001</v>
      </c>
      <c r="S154" s="23">
        <v>897.51527759800001</v>
      </c>
      <c r="T154" s="23">
        <v>0</v>
      </c>
      <c r="U154" s="23">
        <v>28.287834286999999</v>
      </c>
      <c r="V154" s="23">
        <v>4.4899725365199998</v>
      </c>
      <c r="W154" s="23">
        <v>0</v>
      </c>
      <c r="X154" s="22">
        <v>0.49464954395299998</v>
      </c>
      <c r="Y154" s="22">
        <v>0.19362767934700001</v>
      </c>
      <c r="Z154" s="22">
        <v>0</v>
      </c>
      <c r="AA154" s="22">
        <v>2.5161242856200001E-3</v>
      </c>
      <c r="AB154" s="22">
        <v>9.6865533255800003E-4</v>
      </c>
      <c r="AC154" s="22">
        <v>0</v>
      </c>
      <c r="AD154" s="21">
        <v>4.9953846757300004</v>
      </c>
      <c r="AE154" s="21">
        <v>0</v>
      </c>
      <c r="AF154" s="21">
        <v>5556.1624779200001</v>
      </c>
      <c r="AG154" s="21">
        <v>28.287834285300001</v>
      </c>
      <c r="AH154" s="21">
        <v>0</v>
      </c>
      <c r="AI154" s="21">
        <v>0</v>
      </c>
      <c r="AJ154" s="21">
        <v>0.81182509406399994</v>
      </c>
      <c r="AK154" s="21">
        <v>0</v>
      </c>
      <c r="AL154" s="21">
        <v>896.703454179</v>
      </c>
      <c r="AM154" s="21">
        <v>4.4899725302799993</v>
      </c>
      <c r="AN154" s="21">
        <v>0</v>
      </c>
      <c r="AO154" s="21">
        <v>0</v>
      </c>
      <c r="AP154" s="22">
        <v>1.7514109530399998E-4</v>
      </c>
      <c r="AQ154" s="22">
        <v>0</v>
      </c>
      <c r="AR154" s="22">
        <v>0.19345253794200001</v>
      </c>
      <c r="AS154" s="22">
        <v>4.4432559103099999E-4</v>
      </c>
      <c r="AT154" s="22">
        <v>0</v>
      </c>
      <c r="AU154" s="22">
        <v>0.49420521809599999</v>
      </c>
      <c r="AV154" s="22">
        <v>2.5161242871300001E-3</v>
      </c>
      <c r="AW154" s="22">
        <v>0</v>
      </c>
      <c r="AX154" s="22">
        <v>0</v>
      </c>
      <c r="AY154" s="22">
        <v>9.6865533275699992E-4</v>
      </c>
      <c r="AZ154" s="22">
        <v>0</v>
      </c>
      <c r="BA154" s="22">
        <v>0</v>
      </c>
      <c r="BB154" s="7">
        <v>249.23404410200001</v>
      </c>
      <c r="BC154" s="1">
        <v>1.3777104063099999E-2</v>
      </c>
      <c r="BD154" s="9">
        <v>0.999</v>
      </c>
      <c r="BE154" s="9">
        <v>0</v>
      </c>
      <c r="BF154" s="10">
        <v>1E-3</v>
      </c>
      <c r="BG154" s="11">
        <v>-21.94763936</v>
      </c>
      <c r="BH154" s="15">
        <v>777.22222222222217</v>
      </c>
      <c r="BI154" s="20">
        <v>0.99927007299270076</v>
      </c>
      <c r="BJ154" s="15">
        <v>776.65490673154909</v>
      </c>
      <c r="BK154" s="13">
        <f t="shared" si="77"/>
        <v>3244778416.0829248</v>
      </c>
      <c r="BL154" s="13">
        <f t="shared" si="67"/>
        <v>47033989722.81707</v>
      </c>
      <c r="BM154" s="14">
        <v>6.4535758058330073</v>
      </c>
      <c r="BN154" s="14">
        <v>93.546424194166988</v>
      </c>
      <c r="BO154" s="16">
        <v>3.3627474859946416</v>
      </c>
      <c r="BP154" s="16">
        <v>1.234239187167264</v>
      </c>
      <c r="BQ154" s="16">
        <v>5.4333204545454548</v>
      </c>
      <c r="BR154" s="16">
        <v>0.42819454545454499</v>
      </c>
      <c r="BS154" s="16">
        <v>5.6118181818181817E-2</v>
      </c>
      <c r="BT154" s="5">
        <v>119.41363636363636</v>
      </c>
      <c r="BU154" s="5">
        <v>30.15454545454546</v>
      </c>
      <c r="BV154" s="5">
        <v>5.6118181818181814</v>
      </c>
      <c r="BW154" s="16">
        <f>BT154*4</f>
        <v>477.65454545454543</v>
      </c>
      <c r="BX154" s="16">
        <f>BU154*1.29</f>
        <v>38.899363636363645</v>
      </c>
      <c r="BY154" s="16">
        <f>BV154*1.47</f>
        <v>8.2493727272727266</v>
      </c>
      <c r="BZ154" s="16">
        <v>2.66E-3</v>
      </c>
      <c r="CA154" s="16">
        <f t="shared" si="78"/>
        <v>132.274485</v>
      </c>
      <c r="CB154" s="9">
        <f t="shared" si="79"/>
        <v>231.4691186192978</v>
      </c>
      <c r="CC154" s="16">
        <f t="shared" si="80"/>
        <v>2.798030091513275</v>
      </c>
      <c r="CD154" s="16">
        <f t="shared" si="81"/>
        <v>9.1192107241031355</v>
      </c>
      <c r="CE154" s="17">
        <f t="shared" si="82"/>
        <v>243.38635943491423</v>
      </c>
      <c r="CF154" s="9">
        <f t="shared" si="83"/>
        <v>117.25272278089008</v>
      </c>
      <c r="CG154" s="18">
        <v>4705818.1818181816</v>
      </c>
      <c r="CH154" s="9">
        <f t="shared" si="68"/>
        <v>49.479889288471746</v>
      </c>
      <c r="CI154" s="9">
        <f t="shared" si="69"/>
        <v>4.7891904521268414</v>
      </c>
      <c r="CJ154" s="5">
        <v>16.831252640679605</v>
      </c>
      <c r="CK154" s="5">
        <v>0</v>
      </c>
      <c r="CL154" s="5">
        <v>16.831252640679605</v>
      </c>
    </row>
    <row r="155" spans="1:90" x14ac:dyDescent="0.25">
      <c r="A155" s="2" t="s">
        <v>311</v>
      </c>
      <c r="B155" s="1" t="s">
        <v>153</v>
      </c>
      <c r="C155" s="1" t="s">
        <v>334</v>
      </c>
      <c r="D155" s="1" t="s">
        <v>334</v>
      </c>
      <c r="E155" s="1" t="s">
        <v>339</v>
      </c>
      <c r="F155" s="21">
        <v>13443.5395899</v>
      </c>
      <c r="G155" s="22">
        <v>1.10077510642</v>
      </c>
      <c r="H155" s="22">
        <v>6.4553174204499996E-4</v>
      </c>
      <c r="I155" s="22">
        <v>14680270355.9</v>
      </c>
      <c r="J155" s="22">
        <v>757130.31836999999</v>
      </c>
      <c r="K155" s="22">
        <f t="shared" si="64"/>
        <v>17.755912375616049</v>
      </c>
      <c r="L155" s="22">
        <f t="shared" si="65"/>
        <v>14.538779912945779</v>
      </c>
      <c r="M155" s="22">
        <f t="shared" si="66"/>
        <v>19.38935741934711</v>
      </c>
      <c r="N155" s="21">
        <v>8049.6818327700003</v>
      </c>
      <c r="O155" s="21">
        <v>5393.8577559200003</v>
      </c>
      <c r="P155" s="22">
        <v>0.65889439208900002</v>
      </c>
      <c r="Q155" s="22">
        <v>0.441880714141</v>
      </c>
      <c r="R155" s="23">
        <v>5985.6098144099997</v>
      </c>
      <c r="S155" s="23">
        <v>2064.0719944900002</v>
      </c>
      <c r="T155" s="23">
        <v>0</v>
      </c>
      <c r="U155" s="23">
        <v>4024.3287143500002</v>
      </c>
      <c r="V155" s="23">
        <v>1369.5290458899999</v>
      </c>
      <c r="W155" s="23">
        <v>0</v>
      </c>
      <c r="X155" s="22">
        <v>0.53240336642499997</v>
      </c>
      <c r="Y155" s="22">
        <v>0.126491025831</v>
      </c>
      <c r="Z155" s="22">
        <v>0</v>
      </c>
      <c r="AA155" s="22">
        <v>0.35795286105900004</v>
      </c>
      <c r="AB155" s="22">
        <v>8.3927854311399999E-2</v>
      </c>
      <c r="AC155" s="22">
        <v>0</v>
      </c>
      <c r="AD155" s="21">
        <v>235.736282668</v>
      </c>
      <c r="AE155" s="21">
        <v>2023.1291770599998</v>
      </c>
      <c r="AF155" s="21">
        <v>3726.7443619400001</v>
      </c>
      <c r="AG155" s="21">
        <v>276.20402468899999</v>
      </c>
      <c r="AH155" s="21">
        <v>3748.1246918899997</v>
      </c>
      <c r="AI155" s="21">
        <v>0</v>
      </c>
      <c r="AJ155" s="21">
        <v>81.086636049700004</v>
      </c>
      <c r="AK155" s="21">
        <v>694.65471233099993</v>
      </c>
      <c r="AL155" s="21">
        <v>1288.3306481300001</v>
      </c>
      <c r="AM155" s="21">
        <v>93.995660596499988</v>
      </c>
      <c r="AN155" s="21">
        <v>1275.5333851099999</v>
      </c>
      <c r="AO155" s="21">
        <v>0</v>
      </c>
      <c r="AP155" s="22">
        <v>4.9691734626499994E-3</v>
      </c>
      <c r="AQ155" s="22">
        <v>4.2570020413800001E-2</v>
      </c>
      <c r="AR155" s="22">
        <v>7.895183179439999E-2</v>
      </c>
      <c r="AS155" s="22">
        <v>2.0968087547099997E-2</v>
      </c>
      <c r="AT155" s="22">
        <v>0.179951720397</v>
      </c>
      <c r="AU155" s="22">
        <v>0.331483558442</v>
      </c>
      <c r="AV155" s="22">
        <v>2.4567580778799999E-2</v>
      </c>
      <c r="AW155" s="22">
        <v>0.33338528013800001</v>
      </c>
      <c r="AX155" s="22">
        <v>0</v>
      </c>
      <c r="AY155" s="22">
        <v>5.7602678190900002E-3</v>
      </c>
      <c r="AZ155" s="22">
        <v>7.8167586457100008E-2</v>
      </c>
      <c r="BA155" s="22">
        <v>0</v>
      </c>
      <c r="BB155" s="7">
        <v>3280.5015294200002</v>
      </c>
      <c r="BC155" s="1">
        <v>6.4698780177700005E-2</v>
      </c>
      <c r="BD155" s="9">
        <v>0.69699999999999995</v>
      </c>
      <c r="BE155" s="9">
        <v>0.26100000000000001</v>
      </c>
      <c r="BF155" s="10">
        <v>4.2000000000000003E-2</v>
      </c>
      <c r="BG155" s="11">
        <v>-23.688571786800001</v>
      </c>
      <c r="BH155" s="15">
        <v>220.88888888888889</v>
      </c>
      <c r="BI155" s="20">
        <v>0.99876543209876534</v>
      </c>
      <c r="BJ155" s="15">
        <v>220.61618655692726</v>
      </c>
      <c r="BK155" s="13">
        <f t="shared" si="77"/>
        <v>2933310071.6432323</v>
      </c>
      <c r="BL155" s="13">
        <f t="shared" si="67"/>
        <v>11746960284.256767</v>
      </c>
      <c r="BM155" s="14">
        <v>19.981308249301659</v>
      </c>
      <c r="BN155" s="14">
        <v>80.018691750698338</v>
      </c>
      <c r="BO155" s="16">
        <v>1.7368693402328592</v>
      </c>
      <c r="BP155" s="16">
        <v>0.72855806547915214</v>
      </c>
      <c r="BQ155" s="16">
        <v>3.028190454545455</v>
      </c>
      <c r="BR155" s="16">
        <v>0.25740727272727271</v>
      </c>
      <c r="BS155" s="16">
        <v>0.22748181818181817</v>
      </c>
      <c r="BT155" s="5">
        <v>66.553636363636372</v>
      </c>
      <c r="BU155" s="5">
        <v>18.127272727272725</v>
      </c>
      <c r="BV155" s="5">
        <v>22.74818181818182</v>
      </c>
      <c r="BW155" s="16">
        <f>BT155*3.53</f>
        <v>234.93433636363639</v>
      </c>
      <c r="BX155" s="16">
        <f>BU155*0.54</f>
        <v>9.7887272727272716</v>
      </c>
      <c r="BY155" s="16">
        <f>BV155*1.02</f>
        <v>23.203145454545457</v>
      </c>
      <c r="BZ155" s="16">
        <v>2.4420000000000001E-2</v>
      </c>
      <c r="CA155" s="16">
        <f t="shared" si="78"/>
        <v>676.79628814285729</v>
      </c>
      <c r="CB155" s="9">
        <f t="shared" si="79"/>
        <v>119.55450625269513</v>
      </c>
      <c r="CC155" s="16">
        <f t="shared" si="80"/>
        <v>1.4451910823630878</v>
      </c>
      <c r="CD155" s="16">
        <f t="shared" si="81"/>
        <v>4.7101001724881417</v>
      </c>
      <c r="CE155" s="17">
        <f t="shared" si="82"/>
        <v>125.70979750754636</v>
      </c>
      <c r="CF155" s="9">
        <f t="shared" si="83"/>
        <v>69.213016220519449</v>
      </c>
      <c r="CG155" s="18">
        <v>3346545.4545454546</v>
      </c>
      <c r="CH155" s="9">
        <f t="shared" si="68"/>
        <v>20.007345262394846</v>
      </c>
      <c r="CI155" s="9">
        <f t="shared" si="69"/>
        <v>3.8138748351933613</v>
      </c>
      <c r="CJ155" s="5">
        <v>11.645029162256529</v>
      </c>
      <c r="CK155" s="5">
        <v>12.610453183856338</v>
      </c>
      <c r="CL155" s="5">
        <v>22.78699139536009</v>
      </c>
    </row>
    <row r="156" spans="1:90" x14ac:dyDescent="0.25">
      <c r="A156" s="2" t="s">
        <v>312</v>
      </c>
      <c r="B156" s="1" t="s">
        <v>154</v>
      </c>
      <c r="C156" s="1" t="s">
        <v>321</v>
      </c>
      <c r="D156" s="1" t="s">
        <v>342</v>
      </c>
      <c r="E156" s="1" t="s">
        <v>337</v>
      </c>
      <c r="F156" s="21">
        <v>853.96523033899996</v>
      </c>
      <c r="G156" s="22">
        <v>8.0099396902499995E-2</v>
      </c>
      <c r="H156" s="22">
        <v>2.47106370722E-4</v>
      </c>
      <c r="I156" s="22">
        <v>64012042977.099998</v>
      </c>
      <c r="J156" s="22">
        <v>4406596.9448999995</v>
      </c>
      <c r="K156" s="22">
        <f t="shared" si="64"/>
        <v>0.19379245277409396</v>
      </c>
      <c r="L156" s="22">
        <f t="shared" si="65"/>
        <v>0.18177155275161597</v>
      </c>
      <c r="M156" s="22">
        <f t="shared" si="66"/>
        <v>14.526412053905839</v>
      </c>
      <c r="N156" s="21">
        <v>853.96523033899996</v>
      </c>
      <c r="O156" s="21">
        <v>0</v>
      </c>
      <c r="P156" s="22">
        <v>8.0099396902499995E-2</v>
      </c>
      <c r="Q156" s="22">
        <v>0</v>
      </c>
      <c r="R156" s="23">
        <v>712.31255605800004</v>
      </c>
      <c r="S156" s="23">
        <v>141.652674561</v>
      </c>
      <c r="T156" s="23">
        <v>0</v>
      </c>
      <c r="U156" s="23">
        <v>0</v>
      </c>
      <c r="V156" s="23">
        <v>0</v>
      </c>
      <c r="W156" s="23">
        <v>0</v>
      </c>
      <c r="X156" s="22">
        <v>6.3358223216699996E-2</v>
      </c>
      <c r="Y156" s="22">
        <v>1.6741173662599997E-2</v>
      </c>
      <c r="Z156" s="22">
        <v>0</v>
      </c>
      <c r="AA156" s="22">
        <v>0</v>
      </c>
      <c r="AB156" s="22">
        <v>0</v>
      </c>
      <c r="AC156" s="22">
        <v>0</v>
      </c>
      <c r="AD156" s="21">
        <v>0</v>
      </c>
      <c r="AE156" s="21">
        <v>0</v>
      </c>
      <c r="AF156" s="21">
        <v>712.31255729600002</v>
      </c>
      <c r="AG156" s="21">
        <v>0</v>
      </c>
      <c r="AH156" s="21">
        <v>0</v>
      </c>
      <c r="AI156" s="21">
        <v>0</v>
      </c>
      <c r="AJ156" s="21">
        <v>0</v>
      </c>
      <c r="AK156" s="21">
        <v>0</v>
      </c>
      <c r="AL156" s="21">
        <v>141.65267446300001</v>
      </c>
      <c r="AM156" s="21">
        <v>0</v>
      </c>
      <c r="AN156" s="21">
        <v>0</v>
      </c>
      <c r="AO156" s="21">
        <v>0</v>
      </c>
      <c r="AP156" s="22">
        <v>0</v>
      </c>
      <c r="AQ156" s="22">
        <v>0</v>
      </c>
      <c r="AR156" s="22">
        <v>1.6741173659600001E-2</v>
      </c>
      <c r="AS156" s="22">
        <v>0</v>
      </c>
      <c r="AT156" s="22">
        <v>0</v>
      </c>
      <c r="AU156" s="22">
        <v>6.3358223222099996E-2</v>
      </c>
      <c r="AV156" s="22">
        <v>0</v>
      </c>
      <c r="AW156" s="22">
        <v>0</v>
      </c>
      <c r="AX156" s="22">
        <v>0</v>
      </c>
      <c r="AY156" s="22">
        <v>0</v>
      </c>
      <c r="AZ156" s="22">
        <v>0</v>
      </c>
      <c r="BA156" s="22">
        <v>0</v>
      </c>
      <c r="BB156" s="7">
        <v>33.665400224499997</v>
      </c>
      <c r="BC156" s="1">
        <v>1.87965151184E-3</v>
      </c>
      <c r="BD156" s="9">
        <v>1</v>
      </c>
      <c r="BE156" s="9">
        <v>0</v>
      </c>
      <c r="BF156" s="10">
        <v>0</v>
      </c>
      <c r="BG156" s="11">
        <v>-37.430536138100003</v>
      </c>
      <c r="BH156" s="15">
        <v>419.55555555555554</v>
      </c>
      <c r="BI156" s="20">
        <v>1.0140845070422535</v>
      </c>
      <c r="BJ156" s="15">
        <v>425.46478873239437</v>
      </c>
      <c r="BK156" s="13">
        <f t="shared" si="77"/>
        <v>639538326.46639347</v>
      </c>
      <c r="BL156" s="13">
        <f t="shared" si="67"/>
        <v>63372504650.633606</v>
      </c>
      <c r="BM156" s="14">
        <v>0.99909063470319981</v>
      </c>
      <c r="BN156" s="14">
        <v>99.000909365296792</v>
      </c>
      <c r="BO156" s="16">
        <v>4.0492844306485871</v>
      </c>
      <c r="BP156" s="16">
        <v>1.4862208789413494</v>
      </c>
      <c r="BQ156" s="16">
        <v>5.7633609090909097</v>
      </c>
      <c r="BR156" s="16">
        <v>1.0697376363636364</v>
      </c>
      <c r="BS156" s="16">
        <v>0.40991818181818185</v>
      </c>
      <c r="BT156" s="5">
        <v>126.66727272727275</v>
      </c>
      <c r="BU156" s="5">
        <v>75.333636363636359</v>
      </c>
      <c r="BV156" s="5">
        <v>40.991818181818182</v>
      </c>
      <c r="BW156" s="16">
        <f>BT156*4</f>
        <v>506.66909090909098</v>
      </c>
      <c r="BX156" s="16">
        <f>BU156*1.29</f>
        <v>97.180390909090903</v>
      </c>
      <c r="BY156" s="16">
        <f>BV156*1.47</f>
        <v>60.25797272727273</v>
      </c>
      <c r="BZ156" s="16">
        <v>6.4999999999999997E-3</v>
      </c>
      <c r="CA156" s="16">
        <f t="shared" si="78"/>
        <v>342.86116428571432</v>
      </c>
      <c r="CB156" s="9">
        <f t="shared" si="79"/>
        <v>278.72574497631103</v>
      </c>
      <c r="CC156" s="16">
        <f t="shared" si="80"/>
        <v>3.3692745985950014</v>
      </c>
      <c r="CD156" s="16">
        <f t="shared" si="81"/>
        <v>10.980984495180527</v>
      </c>
      <c r="CE156" s="17">
        <f t="shared" si="82"/>
        <v>293.07600407008653</v>
      </c>
      <c r="CF156" s="9">
        <f t="shared" si="83"/>
        <v>141.1909834994282</v>
      </c>
      <c r="CG156" s="18">
        <v>9225109.0909090918</v>
      </c>
      <c r="CH156" s="9">
        <f t="shared" si="68"/>
        <v>117.88325981064392</v>
      </c>
      <c r="CI156" s="9">
        <f t="shared" si="69"/>
        <v>13.295555694748826</v>
      </c>
      <c r="CJ156" s="5">
        <v>32.410763993765592</v>
      </c>
      <c r="CK156" s="5">
        <v>0</v>
      </c>
      <c r="CL156" s="5">
        <v>32.410763993765592</v>
      </c>
    </row>
    <row r="157" spans="1:90" x14ac:dyDescent="0.25">
      <c r="A157" s="2" t="s">
        <v>313</v>
      </c>
      <c r="B157" s="1" t="s">
        <v>155</v>
      </c>
      <c r="C157" s="1" t="s">
        <v>321</v>
      </c>
      <c r="D157" s="1" t="s">
        <v>335</v>
      </c>
      <c r="E157" s="1" t="s">
        <v>329</v>
      </c>
      <c r="F157" s="21">
        <v>8215.4192944999995</v>
      </c>
      <c r="G157" s="22">
        <v>0.85361452883400002</v>
      </c>
      <c r="H157" s="22">
        <v>5.38203277242E-2</v>
      </c>
      <c r="I157" s="22">
        <v>2904690800</v>
      </c>
      <c r="J157" s="22">
        <v>819280.71088499995</v>
      </c>
      <c r="K157" s="22">
        <f t="shared" si="64"/>
        <v>10.027600046418247</v>
      </c>
      <c r="L157" s="22">
        <f t="shared" si="65"/>
        <v>10.41907269990419</v>
      </c>
      <c r="M157" s="22">
        <f t="shared" si="66"/>
        <v>3.545415828064971</v>
      </c>
      <c r="N157" s="21">
        <v>8213.3077590400007</v>
      </c>
      <c r="O157" s="21">
        <v>2.1115509423200001</v>
      </c>
      <c r="P157" s="22">
        <v>0.85339604377300005</v>
      </c>
      <c r="Q157" s="22">
        <v>2.1848660825400001E-4</v>
      </c>
      <c r="R157" s="23">
        <v>7225.2060294700004</v>
      </c>
      <c r="S157" s="23">
        <v>988.10171885099999</v>
      </c>
      <c r="T157" s="23">
        <v>0</v>
      </c>
      <c r="U157" s="23">
        <v>1.86485743542</v>
      </c>
      <c r="V157" s="23">
        <v>0.24669350208099999</v>
      </c>
      <c r="W157" s="23">
        <v>0</v>
      </c>
      <c r="X157" s="22">
        <v>0.64266200703300003</v>
      </c>
      <c r="Y157" s="22">
        <v>0.210734039771</v>
      </c>
      <c r="Z157" s="22">
        <v>0</v>
      </c>
      <c r="AA157" s="22">
        <v>1.6587388883299999E-4</v>
      </c>
      <c r="AB157" s="22">
        <v>5.26127189503E-5</v>
      </c>
      <c r="AC157" s="22">
        <v>0</v>
      </c>
      <c r="AD157" s="21">
        <v>7.4177509838500004</v>
      </c>
      <c r="AE157" s="21">
        <v>9.1770045419499997</v>
      </c>
      <c r="AF157" s="21">
        <v>7208.6112943600001</v>
      </c>
      <c r="AG157" s="21">
        <v>0.58575177203700002</v>
      </c>
      <c r="AH157" s="21">
        <v>1.27910566322</v>
      </c>
      <c r="AI157" s="21">
        <v>0</v>
      </c>
      <c r="AJ157" s="21">
        <v>1.0152176532199999</v>
      </c>
      <c r="AK157" s="21">
        <v>1.25366651263</v>
      </c>
      <c r="AL157" s="21">
        <v>985.83283569799994</v>
      </c>
      <c r="AM157" s="21">
        <v>7.7486435810800003E-2</v>
      </c>
      <c r="AN157" s="21">
        <v>0.16920706565800001</v>
      </c>
      <c r="AO157" s="21">
        <v>0</v>
      </c>
      <c r="AP157" s="22">
        <v>2.1651709839600001E-4</v>
      </c>
      <c r="AQ157" s="22">
        <v>2.6737146852699999E-4</v>
      </c>
      <c r="AR157" s="22">
        <v>0.210250150961</v>
      </c>
      <c r="AS157" s="22">
        <v>6.5978834532799994E-4</v>
      </c>
      <c r="AT157" s="22">
        <v>8.1626905994099997E-4</v>
      </c>
      <c r="AU157" s="22">
        <v>0.64118594901199999</v>
      </c>
      <c r="AV157" s="22">
        <v>5.2100993007200006E-5</v>
      </c>
      <c r="AW157" s="22">
        <v>1.1377289594499999E-4</v>
      </c>
      <c r="AX157" s="22">
        <v>0</v>
      </c>
      <c r="AY157" s="22">
        <v>1.65256565013E-5</v>
      </c>
      <c r="AZ157" s="22">
        <v>3.6087062501500003E-5</v>
      </c>
      <c r="BA157" s="22">
        <v>0</v>
      </c>
      <c r="BB157" s="7">
        <v>649.95127811299994</v>
      </c>
      <c r="BC157" s="1">
        <v>2.2928836762700001E-2</v>
      </c>
      <c r="BD157" s="9">
        <v>0.998</v>
      </c>
      <c r="BE157" s="9">
        <v>1E-3</v>
      </c>
      <c r="BF157" s="10">
        <v>1E-3</v>
      </c>
      <c r="BG157" s="11">
        <v>-71.306288920599997</v>
      </c>
      <c r="BH157" s="15">
        <v>767.77777777777783</v>
      </c>
      <c r="BI157" s="20">
        <v>1</v>
      </c>
      <c r="BJ157" s="15">
        <v>767.77777777777783</v>
      </c>
      <c r="BK157" s="13">
        <f t="shared" si="77"/>
        <v>2076594943.8100345</v>
      </c>
      <c r="BL157" s="13">
        <f t="shared" si="67"/>
        <v>828095856.18996537</v>
      </c>
      <c r="BM157" s="14">
        <v>71.491084139146054</v>
      </c>
      <c r="BN157" s="14">
        <v>28.508915860853946</v>
      </c>
      <c r="BO157" s="16">
        <v>0.3746382306477094</v>
      </c>
      <c r="BP157" s="16">
        <v>0.13750458135860982</v>
      </c>
      <c r="BQ157" s="16">
        <v>0.41376045454545457</v>
      </c>
      <c r="BR157" s="16">
        <v>3.6446666666666663E-3</v>
      </c>
      <c r="BS157" s="16">
        <v>6.227272727272728E-3</v>
      </c>
      <c r="BT157" s="5">
        <v>9.0936363636363655</v>
      </c>
      <c r="BU157" s="5">
        <v>0.25666666666666665</v>
      </c>
      <c r="BV157" s="5">
        <v>0.62272727272727268</v>
      </c>
      <c r="BW157" s="16">
        <f>BT157*4</f>
        <v>36.374545454545462</v>
      </c>
      <c r="BX157" s="16">
        <f>BU157*1.29</f>
        <v>0.33110000000000001</v>
      </c>
      <c r="BY157" s="16">
        <f>BV157*1.47</f>
        <v>0.91540909090909084</v>
      </c>
      <c r="BZ157" s="16">
        <v>8.5599999999999999E-3</v>
      </c>
      <c r="CA157" s="16">
        <f t="shared" si="78"/>
        <v>32.415436000000007</v>
      </c>
      <c r="CB157" s="9">
        <f t="shared" si="79"/>
        <v>25.787598209583994</v>
      </c>
      <c r="CC157" s="16">
        <f t="shared" si="80"/>
        <v>0.31172398378093746</v>
      </c>
      <c r="CD157" s="16">
        <f t="shared" si="81"/>
        <v>1.0159564418114799</v>
      </c>
      <c r="CE157" s="17">
        <f t="shared" si="82"/>
        <v>27.115278635176409</v>
      </c>
      <c r="CF157" s="9">
        <f t="shared" si="83"/>
        <v>13.062935229067934</v>
      </c>
      <c r="CG157" s="18">
        <v>1572454.5454545454</v>
      </c>
      <c r="CH157" s="9">
        <f t="shared" si="68"/>
        <v>1.4714639761129999</v>
      </c>
      <c r="CI157" s="9">
        <f t="shared" si="69"/>
        <v>0.17330761292496019</v>
      </c>
      <c r="CJ157" s="5">
        <v>54.717591741920323</v>
      </c>
      <c r="CK157" s="5">
        <v>28.124429866349733</v>
      </c>
      <c r="CL157" s="5">
        <v>67.453010894258099</v>
      </c>
    </row>
    <row r="158" spans="1:90" x14ac:dyDescent="0.25">
      <c r="A158" s="2" t="s">
        <v>314</v>
      </c>
      <c r="B158" s="1" t="s">
        <v>156</v>
      </c>
      <c r="C158" s="1" t="s">
        <v>327</v>
      </c>
      <c r="D158" s="1" t="s">
        <v>341</v>
      </c>
      <c r="E158" s="1" t="s">
        <v>331</v>
      </c>
      <c r="F158" s="21">
        <v>11902.1528576</v>
      </c>
      <c r="G158" s="22">
        <v>1.0248699773499998</v>
      </c>
      <c r="H158" s="22">
        <v>3.2961327735600001E-4</v>
      </c>
      <c r="I158" s="22">
        <v>9442969838.0599995</v>
      </c>
      <c r="J158" s="22">
        <v>1492093.46802</v>
      </c>
      <c r="K158" s="22">
        <f t="shared" si="64"/>
        <v>7.9768145311929377</v>
      </c>
      <c r="L158" s="22">
        <f t="shared" si="65"/>
        <v>6.8686714292101065</v>
      </c>
      <c r="M158" s="22">
        <f t="shared" si="66"/>
        <v>6.3286717893020272</v>
      </c>
      <c r="N158" s="21">
        <v>2927.0660373800001</v>
      </c>
      <c r="O158" s="21">
        <v>8975.0868116700003</v>
      </c>
      <c r="P158" s="22">
        <v>0.25207380656700001</v>
      </c>
      <c r="Q158" s="22">
        <v>0.77279617132</v>
      </c>
      <c r="R158" s="23">
        <v>2457.4513459599998</v>
      </c>
      <c r="S158" s="23">
        <v>469.61469302900002</v>
      </c>
      <c r="T158" s="23">
        <v>0</v>
      </c>
      <c r="U158" s="23">
        <v>7528.1822937899997</v>
      </c>
      <c r="V158" s="23">
        <v>1446.9045196300001</v>
      </c>
      <c r="W158" s="23">
        <v>0</v>
      </c>
      <c r="X158" s="22">
        <v>0.21858347097699998</v>
      </c>
      <c r="Y158" s="22">
        <v>3.3490335399900005E-2</v>
      </c>
      <c r="Z158" s="22">
        <v>0</v>
      </c>
      <c r="AA158" s="22">
        <v>0.66961090329399997</v>
      </c>
      <c r="AB158" s="22">
        <v>0.10318526761300001</v>
      </c>
      <c r="AC158" s="22">
        <v>0</v>
      </c>
      <c r="AD158" s="21">
        <v>469.20882962100001</v>
      </c>
      <c r="AE158" s="21">
        <v>1528.41225399</v>
      </c>
      <c r="AF158" s="21">
        <v>459.83026277600004</v>
      </c>
      <c r="AG158" s="21">
        <v>1159.22568802</v>
      </c>
      <c r="AH158" s="21">
        <v>6368.9566024700007</v>
      </c>
      <c r="AI158" s="21">
        <v>0</v>
      </c>
      <c r="AJ158" s="21">
        <v>89.627229674099993</v>
      </c>
      <c r="AK158" s="21">
        <v>292.25887932200004</v>
      </c>
      <c r="AL158" s="21">
        <v>87.728583340399993</v>
      </c>
      <c r="AM158" s="21">
        <v>222.80131150999998</v>
      </c>
      <c r="AN158" s="21">
        <v>1224.1032073199999</v>
      </c>
      <c r="AO158" s="21">
        <v>0</v>
      </c>
      <c r="AP158" s="22">
        <v>6.3917207696699996E-3</v>
      </c>
      <c r="AQ158" s="22">
        <v>2.08422948804E-2</v>
      </c>
      <c r="AR158" s="22">
        <v>6.25631978517E-3</v>
      </c>
      <c r="AS158" s="22">
        <v>4.1734822089099996E-2</v>
      </c>
      <c r="AT158" s="22">
        <v>0.13594802433700001</v>
      </c>
      <c r="AU158" s="22">
        <v>4.0900624612699998E-2</v>
      </c>
      <c r="AV158" s="22">
        <v>0.103109904834</v>
      </c>
      <c r="AW158" s="22">
        <v>0.56650099848199997</v>
      </c>
      <c r="AX158" s="22">
        <v>0</v>
      </c>
      <c r="AY158" s="22">
        <v>1.5888963386100002E-2</v>
      </c>
      <c r="AZ158" s="22">
        <v>8.72963041848E-2</v>
      </c>
      <c r="BA158" s="22">
        <v>0</v>
      </c>
      <c r="BB158" s="7">
        <v>2472.5910039199998</v>
      </c>
      <c r="BC158" s="1">
        <v>8.37933616464E-2</v>
      </c>
      <c r="BD158" s="9">
        <v>0.23100000000000001</v>
      </c>
      <c r="BE158" s="9">
        <v>0.55100000000000005</v>
      </c>
      <c r="BF158" s="10">
        <v>0.219</v>
      </c>
      <c r="BG158" s="11">
        <v>-46.782789117299998</v>
      </c>
      <c r="BH158" s="15">
        <v>878.11111111111109</v>
      </c>
      <c r="BI158" s="20">
        <v>0.29236868186323089</v>
      </c>
      <c r="BJ158" s="15">
        <v>256.73218808501264</v>
      </c>
      <c r="BK158" s="13">
        <f t="shared" si="77"/>
        <v>801937413.19373</v>
      </c>
      <c r="BL158" s="13">
        <f t="shared" si="67"/>
        <v>8641032424.8662701</v>
      </c>
      <c r="BM158" s="14">
        <v>8.4924279855423439</v>
      </c>
      <c r="BN158" s="14">
        <v>91.507572014457665</v>
      </c>
      <c r="BO158" s="16">
        <v>0.52123910209646362</v>
      </c>
      <c r="BP158" s="16">
        <v>0.19131193417606468</v>
      </c>
      <c r="BQ158" s="16">
        <v>1.403468181818182</v>
      </c>
      <c r="BR158" s="16">
        <v>0.20699727272727267</v>
      </c>
      <c r="BS158" s="16">
        <v>9.5372727272727262E-2</v>
      </c>
      <c r="BT158" s="5">
        <v>30.84545454545454</v>
      </c>
      <c r="BU158" s="5">
        <v>14.577272727272726</v>
      </c>
      <c r="BV158" s="5">
        <v>9.5372727272727289</v>
      </c>
      <c r="BW158" s="16">
        <f>BT158*5.66</f>
        <v>174.5852727272727</v>
      </c>
      <c r="BX158" s="16">
        <f t="shared" ref="BX158:BY160" si="84">BU158*1.36</f>
        <v>19.82509090909091</v>
      </c>
      <c r="BY158" s="16">
        <f t="shared" si="84"/>
        <v>12.970690909090912</v>
      </c>
      <c r="BZ158" s="16">
        <v>2.96E-3</v>
      </c>
      <c r="CA158" s="16">
        <f t="shared" si="78"/>
        <v>38.020988571428568</v>
      </c>
      <c r="CB158" s="9">
        <f t="shared" si="79"/>
        <v>35.878624860973247</v>
      </c>
      <c r="CC158" s="16">
        <f t="shared" si="80"/>
        <v>0.43370568221773087</v>
      </c>
      <c r="CD158" s="16">
        <f t="shared" si="81"/>
        <v>1.4135135717019267</v>
      </c>
      <c r="CE158" s="17">
        <f t="shared" si="82"/>
        <v>37.725844114892901</v>
      </c>
      <c r="CF158" s="9">
        <f t="shared" si="83"/>
        <v>18.174633746726144</v>
      </c>
      <c r="CG158" s="18">
        <v>13522000</v>
      </c>
      <c r="CH158" s="9">
        <f t="shared" si="68"/>
        <v>32.701459007022585</v>
      </c>
      <c r="CI158" s="9">
        <f t="shared" si="69"/>
        <v>4.0742126886713059</v>
      </c>
      <c r="CJ158" s="5">
        <v>65.9166675261406</v>
      </c>
      <c r="CK158" s="5">
        <v>6.470643266544676</v>
      </c>
      <c r="CL158" s="5">
        <v>68.12207838387441</v>
      </c>
    </row>
    <row r="159" spans="1:90" x14ac:dyDescent="0.25">
      <c r="A159" s="2" t="s">
        <v>315</v>
      </c>
      <c r="B159" s="1" t="s">
        <v>157</v>
      </c>
      <c r="C159" s="1" t="s">
        <v>327</v>
      </c>
      <c r="D159" s="1" t="s">
        <v>345</v>
      </c>
      <c r="E159" s="1" t="s">
        <v>331</v>
      </c>
      <c r="F159" s="21">
        <v>658.05518772300002</v>
      </c>
      <c r="G159" s="22">
        <v>5.2980041020500003E-2</v>
      </c>
      <c r="H159" s="22">
        <v>4.6216301876100002E-7</v>
      </c>
      <c r="I159" s="22">
        <v>1015786330.96</v>
      </c>
      <c r="J159" s="22">
        <v>155135.35268499999</v>
      </c>
      <c r="K159" s="22">
        <f t="shared" si="64"/>
        <v>4.2418132059116864</v>
      </c>
      <c r="L159" s="22">
        <f t="shared" si="65"/>
        <v>3.4150849631337858</v>
      </c>
      <c r="M159" s="22">
        <f t="shared" si="66"/>
        <v>6.5477424286554395</v>
      </c>
      <c r="N159" s="21">
        <v>66.957394332099994</v>
      </c>
      <c r="O159" s="21">
        <v>591.09779200399998</v>
      </c>
      <c r="P159" s="22">
        <v>5.2907059573400004E-3</v>
      </c>
      <c r="Q159" s="22">
        <v>4.7689335116100004E-2</v>
      </c>
      <c r="R159" s="23">
        <v>59.361778600500003</v>
      </c>
      <c r="S159" s="23">
        <v>7.5956155884500003</v>
      </c>
      <c r="T159" s="23">
        <v>0</v>
      </c>
      <c r="U159" s="23">
        <v>535.27396017900003</v>
      </c>
      <c r="V159" s="23">
        <v>55.823832934999999</v>
      </c>
      <c r="W159" s="23">
        <v>0</v>
      </c>
      <c r="X159" s="22">
        <v>5.2800653226000001E-3</v>
      </c>
      <c r="Y159" s="22">
        <v>1.0640634369100001E-5</v>
      </c>
      <c r="Z159" s="22">
        <v>0</v>
      </c>
      <c r="AA159" s="22">
        <v>4.7611131964700001E-2</v>
      </c>
      <c r="AB159" s="22">
        <v>7.8203140593399996E-5</v>
      </c>
      <c r="AC159" s="22">
        <v>0</v>
      </c>
      <c r="AD159" s="21">
        <v>5.55600056874</v>
      </c>
      <c r="AE159" s="21">
        <v>25.597735965199998</v>
      </c>
      <c r="AF159" s="21">
        <v>28.2080421619</v>
      </c>
      <c r="AG159" s="21">
        <v>68.743012288299994</v>
      </c>
      <c r="AH159" s="21">
        <v>466.53094803400001</v>
      </c>
      <c r="AI159" s="21">
        <v>0</v>
      </c>
      <c r="AJ159" s="21">
        <v>0.70448118637300006</v>
      </c>
      <c r="AK159" s="21">
        <v>3.2981278334700002</v>
      </c>
      <c r="AL159" s="21">
        <v>3.5930066109699998</v>
      </c>
      <c r="AM159" s="21">
        <v>7.1692230816000002</v>
      </c>
      <c r="AN159" s="21">
        <v>48.654609877300004</v>
      </c>
      <c r="AO159" s="21">
        <v>0</v>
      </c>
      <c r="AP159" s="22">
        <v>9.8690179795399996E-7</v>
      </c>
      <c r="AQ159" s="22">
        <v>4.6203196774999999E-6</v>
      </c>
      <c r="AR159" s="22">
        <v>5.03341287522E-6</v>
      </c>
      <c r="AS159" s="22">
        <v>4.9419081716799997E-4</v>
      </c>
      <c r="AT159" s="22">
        <v>2.2768475098400003E-3</v>
      </c>
      <c r="AU159" s="22">
        <v>2.5090269998600001E-3</v>
      </c>
      <c r="AV159" s="22">
        <v>6.1144999840900003E-3</v>
      </c>
      <c r="AW159" s="22">
        <v>4.1496631967900002E-2</v>
      </c>
      <c r="AX159" s="22">
        <v>0</v>
      </c>
      <c r="AY159" s="22">
        <v>1.0043304605900001E-5</v>
      </c>
      <c r="AZ159" s="22">
        <v>6.8159835915399992E-5</v>
      </c>
      <c r="BA159" s="22">
        <v>0</v>
      </c>
      <c r="BB159" s="7">
        <v>344.60392609199999</v>
      </c>
      <c r="BC159" s="1">
        <v>1.16782442183E-2</v>
      </c>
      <c r="BD159" s="9">
        <v>0.58099999999999996</v>
      </c>
      <c r="BE159" s="9">
        <v>0.317</v>
      </c>
      <c r="BF159" s="10">
        <v>0.10199999999999999</v>
      </c>
      <c r="BG159" s="11">
        <v>-21.5812410427</v>
      </c>
      <c r="BH159" s="15">
        <v>4.7777777777777777</v>
      </c>
      <c r="BI159" s="20">
        <v>1.0555555555555556</v>
      </c>
      <c r="BJ159" s="15">
        <v>5.0432098765432096</v>
      </c>
      <c r="BK159" s="13">
        <f t="shared" si="77"/>
        <v>34379902.008053191</v>
      </c>
      <c r="BL159" s="13">
        <f t="shared" si="67"/>
        <v>981406428.95194685</v>
      </c>
      <c r="BM159" s="14">
        <v>3.3845604100186515</v>
      </c>
      <c r="BN159" s="14">
        <v>96.615439589981349</v>
      </c>
      <c r="BO159" s="16">
        <v>0.20490856019538928</v>
      </c>
      <c r="BP159" s="16">
        <v>7.5208196818967052E-2</v>
      </c>
      <c r="BQ159" s="16">
        <v>0.70189954545454547</v>
      </c>
      <c r="BR159" s="16">
        <v>4.9738727272727261E-2</v>
      </c>
      <c r="BS159" s="16">
        <v>6.7945454545454545E-2</v>
      </c>
      <c r="BT159" s="5">
        <v>15.426363636363639</v>
      </c>
      <c r="BU159" s="5">
        <v>3.5027272727272734</v>
      </c>
      <c r="BV159" s="5">
        <v>6.794545454545454</v>
      </c>
      <c r="BW159" s="16">
        <f>BT159*5.66</f>
        <v>87.3132181818182</v>
      </c>
      <c r="BX159" s="16">
        <f t="shared" si="84"/>
        <v>4.7637090909090922</v>
      </c>
      <c r="BY159" s="16">
        <f t="shared" si="84"/>
        <v>9.240581818181818</v>
      </c>
      <c r="BZ159" s="16">
        <v>2.96E-3</v>
      </c>
      <c r="CA159" s="16">
        <f t="shared" si="78"/>
        <v>19.014976571428576</v>
      </c>
      <c r="CB159" s="9">
        <f t="shared" si="79"/>
        <v>14.104539226782627</v>
      </c>
      <c r="CC159" s="16">
        <f t="shared" si="80"/>
        <v>0.17049758265324361</v>
      </c>
      <c r="CD159" s="16">
        <f t="shared" si="81"/>
        <v>0.55567786382319662</v>
      </c>
      <c r="CE159" s="17">
        <f t="shared" si="82"/>
        <v>14.830714673259068</v>
      </c>
      <c r="CF159" s="9">
        <f t="shared" si="83"/>
        <v>7.1447786978018701</v>
      </c>
      <c r="CG159" s="18">
        <v>2993454.5454545454</v>
      </c>
      <c r="CH159" s="9">
        <f t="shared" si="68"/>
        <v>3.2919034133277352</v>
      </c>
      <c r="CI159" s="9">
        <f t="shared" si="69"/>
        <v>0.42599246669197732</v>
      </c>
      <c r="CJ159" s="5">
        <v>0</v>
      </c>
      <c r="CK159" s="5">
        <v>9.0642694449443084</v>
      </c>
      <c r="CL159" s="5">
        <v>9.0642694449443066</v>
      </c>
    </row>
    <row r="160" spans="1:90" x14ac:dyDescent="0.25">
      <c r="A160" s="2" t="s">
        <v>316</v>
      </c>
      <c r="B160" s="1" t="s">
        <v>158</v>
      </c>
      <c r="C160" s="1" t="s">
        <v>327</v>
      </c>
      <c r="D160" s="1" t="s">
        <v>345</v>
      </c>
      <c r="E160" s="1" t="s">
        <v>331</v>
      </c>
      <c r="F160" s="21">
        <v>5175.0962278500001</v>
      </c>
      <c r="G160" s="22">
        <v>0.51406574387199999</v>
      </c>
      <c r="H160" s="22">
        <v>0</v>
      </c>
      <c r="I160" s="22">
        <v>4036271960.1199999</v>
      </c>
      <c r="J160" s="22">
        <v>173837.51696000001</v>
      </c>
      <c r="K160" s="22">
        <f t="shared" si="64"/>
        <v>29.769731634171865</v>
      </c>
      <c r="L160" s="22">
        <f t="shared" si="65"/>
        <v>29.571622562365896</v>
      </c>
      <c r="M160" s="22">
        <f t="shared" si="66"/>
        <v>23.218647106244308</v>
      </c>
      <c r="N160" s="21">
        <v>1350.33319497</v>
      </c>
      <c r="O160" s="21">
        <v>3824.7630362999998</v>
      </c>
      <c r="P160" s="22">
        <v>0.13409087184099999</v>
      </c>
      <c r="Q160" s="22">
        <v>0.37997487193399998</v>
      </c>
      <c r="R160" s="23">
        <v>1160.22160259</v>
      </c>
      <c r="S160" s="23">
        <v>190.11159420199999</v>
      </c>
      <c r="T160" s="23">
        <v>0</v>
      </c>
      <c r="U160" s="23">
        <v>3283.9953936900001</v>
      </c>
      <c r="V160" s="23">
        <v>540.76762422000002</v>
      </c>
      <c r="W160" s="23">
        <v>0</v>
      </c>
      <c r="X160" s="22">
        <v>0.10319848879</v>
      </c>
      <c r="Y160" s="22">
        <v>3.0892383045700002E-2</v>
      </c>
      <c r="Z160" s="22">
        <v>0</v>
      </c>
      <c r="AA160" s="22">
        <v>0.29210226885899998</v>
      </c>
      <c r="AB160" s="22">
        <v>8.7872602407100001E-2</v>
      </c>
      <c r="AC160" s="22">
        <v>0</v>
      </c>
      <c r="AD160" s="21">
        <v>75.500006507699993</v>
      </c>
      <c r="AE160" s="21">
        <v>852.511206109</v>
      </c>
      <c r="AF160" s="21">
        <v>232.21039169900001</v>
      </c>
      <c r="AG160" s="21">
        <v>175.21598732800001</v>
      </c>
      <c r="AH160" s="21">
        <v>3108.7794208</v>
      </c>
      <c r="AI160" s="21">
        <v>0</v>
      </c>
      <c r="AJ160" s="21">
        <v>12.3812274023</v>
      </c>
      <c r="AK160" s="21">
        <v>139.673949623</v>
      </c>
      <c r="AL160" s="21">
        <v>38.056417042299998</v>
      </c>
      <c r="AM160" s="21">
        <v>28.852395057100001</v>
      </c>
      <c r="AN160" s="21">
        <v>511.91522859600002</v>
      </c>
      <c r="AO160" s="21">
        <v>0</v>
      </c>
      <c r="AP160" s="22">
        <v>2.0119005381499999E-3</v>
      </c>
      <c r="AQ160" s="22">
        <v>2.26964650208E-2</v>
      </c>
      <c r="AR160" s="22">
        <v>6.1840174255300001E-3</v>
      </c>
      <c r="AS160" s="22">
        <v>6.7155158535200004E-3</v>
      </c>
      <c r="AT160" s="22">
        <v>7.582850372460001E-2</v>
      </c>
      <c r="AU160" s="22">
        <v>2.06544693283E-2</v>
      </c>
      <c r="AV160" s="22">
        <v>1.5584975357200001E-2</v>
      </c>
      <c r="AW160" s="22">
        <v>0.27651729365</v>
      </c>
      <c r="AX160" s="22">
        <v>0</v>
      </c>
      <c r="AY160" s="22">
        <v>4.6884002144799994E-3</v>
      </c>
      <c r="AZ160" s="22">
        <v>8.3184202192300008E-2</v>
      </c>
      <c r="BA160" s="22">
        <v>0</v>
      </c>
      <c r="BB160" s="7">
        <v>1430.3844556199999</v>
      </c>
      <c r="BC160" s="1">
        <v>4.8474139774299999E-2</v>
      </c>
      <c r="BD160" s="9">
        <v>0.27</v>
      </c>
      <c r="BE160" s="9">
        <v>0.65</v>
      </c>
      <c r="BF160" s="10">
        <v>0.08</v>
      </c>
      <c r="BG160" s="11">
        <v>-32.207128001900003</v>
      </c>
      <c r="BH160" s="15">
        <v>633</v>
      </c>
      <c r="BI160" s="20">
        <v>0.92414814814814805</v>
      </c>
      <c r="BJ160" s="15">
        <v>584.98577777777768</v>
      </c>
      <c r="BK160" s="13">
        <f t="shared" si="77"/>
        <v>464781038.59295839</v>
      </c>
      <c r="BL160" s="13">
        <f t="shared" si="67"/>
        <v>3571490921.527041</v>
      </c>
      <c r="BM160" s="14">
        <v>11.5151070885506</v>
      </c>
      <c r="BN160" s="14">
        <v>88.484892911449393</v>
      </c>
      <c r="BO160" s="16">
        <v>0.59389473684210525</v>
      </c>
      <c r="BP160" s="16">
        <v>0.21797894736842105</v>
      </c>
      <c r="BQ160" s="16">
        <v>0.75761636363636387</v>
      </c>
      <c r="BR160" s="16">
        <v>0.13283454545454546</v>
      </c>
      <c r="BS160" s="16">
        <v>5.2363636363636369E-2</v>
      </c>
      <c r="BT160" s="5">
        <v>16.650909090909092</v>
      </c>
      <c r="BU160" s="5">
        <v>9.3545454545454554</v>
      </c>
      <c r="BV160" s="5">
        <v>5.2363636363636354</v>
      </c>
      <c r="BW160" s="16">
        <f>BT160*5.66</f>
        <v>94.24414545454546</v>
      </c>
      <c r="BX160" s="16">
        <f t="shared" si="84"/>
        <v>12.72218181818182</v>
      </c>
      <c r="BY160" s="16">
        <f t="shared" si="84"/>
        <v>7.1214545454545446</v>
      </c>
      <c r="BZ160" s="16">
        <v>2.96E-3</v>
      </c>
      <c r="CA160" s="16">
        <f t="shared" si="78"/>
        <v>20.524386285714289</v>
      </c>
      <c r="CB160" s="9">
        <f t="shared" si="79"/>
        <v>40.879754385964908</v>
      </c>
      <c r="CC160" s="16">
        <f t="shared" si="80"/>
        <v>0.49416001403508775</v>
      </c>
      <c r="CD160" s="16">
        <f t="shared" si="81"/>
        <v>1.6105435438596492</v>
      </c>
      <c r="CE160" s="17">
        <f t="shared" si="82"/>
        <v>42.984457943859645</v>
      </c>
      <c r="CF160" s="9">
        <f t="shared" si="83"/>
        <v>20.707999999999998</v>
      </c>
      <c r="CG160" s="18">
        <v>3977272.7272727275</v>
      </c>
      <c r="CH160" s="9">
        <f t="shared" si="68"/>
        <v>6.9788736407133545</v>
      </c>
      <c r="CI160" s="9">
        <f t="shared" si="69"/>
        <v>0.78871158087175597</v>
      </c>
      <c r="CJ160" s="5">
        <v>16.931148964888919</v>
      </c>
      <c r="CK160" s="5">
        <v>8.5502856154860574</v>
      </c>
      <c r="CL160" s="5">
        <v>24.033772985893563</v>
      </c>
    </row>
    <row r="161" spans="9:64" x14ac:dyDescent="0.25">
      <c r="I161" s="24"/>
      <c r="BK161" s="13"/>
      <c r="BL161" s="13"/>
    </row>
    <row r="201" spans="7:8" x14ac:dyDescent="0.25">
      <c r="G201" s="1"/>
      <c r="H201" s="1"/>
    </row>
  </sheetData>
  <autoFilter ref="A1:CL201" xr:uid="{00000000-0001-0000-0000-000000000000}">
    <sortState xmlns:xlrd2="http://schemas.microsoft.com/office/spreadsheetml/2017/richdata2" ref="A2:CL201">
      <sortCondition ref="B1:B201"/>
    </sortState>
  </autoFilter>
  <sortState xmlns:xlrd2="http://schemas.microsoft.com/office/spreadsheetml/2017/richdata2" ref="A2:CL201">
    <sortCondition ref="B1:B201"/>
  </sortState>
  <phoneticPr fontId="2" type="noConversion"/>
  <pageMargins left="0.7" right="0.7" top="0.75" bottom="0.75" header="0.3" footer="0.3"/>
  <pageSetup paperSize="9" orientation="portrait" horizontalDpi="1200" verticalDpi="1200" r:id="rId1"/>
  <ignoredErrors>
    <ignoredError sqref="BW148:BY148 BW155:BY155 BW6:BW7 BX6:BY6 BW13 BW17 BX17:BY17 BX13:BY13 BW42 BX42:BY42 BW43:BW44 BX44:BY44 BW52:BY52 BW55:BY55 BW70 BX70:BY70 BW79 BX79:BY79 BW128:BY128 BW112:BY112 BW104:BY104 BW98:BY98 BW93:BY93 BX7:BY7 BW97:BY97 BW99 BX99:BY99 BX43:BY43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51ACA-6A0E-43CC-9BAC-A2BA182421E0}">
  <dimension ref="A1:D160"/>
  <sheetViews>
    <sheetView tabSelected="1" workbookViewId="0">
      <selection activeCell="H28" sqref="H28"/>
    </sheetView>
  </sheetViews>
  <sheetFormatPr defaultRowHeight="14.4" x14ac:dyDescent="0.25"/>
  <cols>
    <col min="1" max="1" width="31.44140625" customWidth="1"/>
    <col min="2" max="2" width="23.21875" customWidth="1"/>
    <col min="3" max="3" width="19" customWidth="1"/>
    <col min="4" max="4" width="15.33203125" customWidth="1"/>
  </cols>
  <sheetData>
    <row r="1" spans="1:4" ht="16.8" x14ac:dyDescent="0.25">
      <c r="A1" s="25" t="s">
        <v>506</v>
      </c>
      <c r="B1" s="25" t="s">
        <v>507</v>
      </c>
      <c r="C1" s="25" t="s">
        <v>449</v>
      </c>
      <c r="D1" s="25" t="s">
        <v>351</v>
      </c>
    </row>
    <row r="2" spans="1:4" x14ac:dyDescent="0.25">
      <c r="A2" s="1">
        <v>8.0256000000000007</v>
      </c>
      <c r="B2" s="1">
        <v>6.11266</v>
      </c>
      <c r="C2" s="1" t="s">
        <v>159</v>
      </c>
      <c r="D2" s="1" t="s">
        <v>321</v>
      </c>
    </row>
    <row r="3" spans="1:4" x14ac:dyDescent="0.25">
      <c r="A3" s="1">
        <v>1.4327799999999999</v>
      </c>
      <c r="B3" s="1">
        <v>1.9619999999999999E-2</v>
      </c>
      <c r="C3" s="1" t="s">
        <v>161</v>
      </c>
      <c r="D3" s="1" t="s">
        <v>324</v>
      </c>
    </row>
    <row r="4" spans="1:4" x14ac:dyDescent="0.25">
      <c r="A4" s="1">
        <v>5.9113699999999998</v>
      </c>
      <c r="B4" s="1">
        <v>7.5403700000000002</v>
      </c>
      <c r="C4" s="1" t="s">
        <v>200</v>
      </c>
      <c r="D4" s="1" t="s">
        <v>327</v>
      </c>
    </row>
    <row r="5" spans="1:4" x14ac:dyDescent="0.25">
      <c r="A5" s="1">
        <v>2.0483899999999999</v>
      </c>
      <c r="B5" s="1">
        <v>1.1022000000000001</v>
      </c>
      <c r="C5" s="1" t="s">
        <v>160</v>
      </c>
      <c r="D5" s="1" t="s">
        <v>327</v>
      </c>
    </row>
    <row r="6" spans="1:4" x14ac:dyDescent="0.25">
      <c r="A6" s="1">
        <v>0.52710999999999997</v>
      </c>
      <c r="B6" s="1">
        <v>0.41922999999999999</v>
      </c>
      <c r="C6" s="1" t="s">
        <v>165</v>
      </c>
      <c r="D6" s="1" t="s">
        <v>332</v>
      </c>
    </row>
    <row r="7" spans="1:4" x14ac:dyDescent="0.25">
      <c r="A7" s="1">
        <v>13.707280000000001</v>
      </c>
      <c r="B7" s="1">
        <v>14.247870000000001</v>
      </c>
      <c r="C7" s="1" t="s">
        <v>163</v>
      </c>
      <c r="D7" s="1" t="s">
        <v>334</v>
      </c>
    </row>
    <row r="8" spans="1:4" x14ac:dyDescent="0.25">
      <c r="A8" s="1">
        <v>4.62439</v>
      </c>
      <c r="B8" s="1">
        <v>2.6529699999999998</v>
      </c>
      <c r="C8" s="1" t="s">
        <v>164</v>
      </c>
      <c r="D8" s="1" t="s">
        <v>321</v>
      </c>
    </row>
    <row r="9" spans="1:4" x14ac:dyDescent="0.25">
      <c r="A9" s="1">
        <v>1.69093</v>
      </c>
      <c r="B9" s="1">
        <v>1.30209</v>
      </c>
      <c r="C9" s="1" t="s">
        <v>166</v>
      </c>
      <c r="D9" s="1" t="s">
        <v>336</v>
      </c>
    </row>
    <row r="10" spans="1:4" x14ac:dyDescent="0.25">
      <c r="A10" s="1">
        <v>0.70599999999999996</v>
      </c>
      <c r="B10" s="1">
        <v>1.1234200000000001</v>
      </c>
      <c r="C10" s="1" t="s">
        <v>167</v>
      </c>
      <c r="D10" s="1" t="s">
        <v>324</v>
      </c>
    </row>
    <row r="11" spans="1:4" x14ac:dyDescent="0.25">
      <c r="A11" s="1">
        <v>5.4242800000000004</v>
      </c>
      <c r="B11" s="1">
        <v>3.9032499999999999</v>
      </c>
      <c r="C11" s="1" t="s">
        <v>168</v>
      </c>
      <c r="D11" s="1" t="s">
        <v>321</v>
      </c>
    </row>
    <row r="12" spans="1:4" x14ac:dyDescent="0.25">
      <c r="A12" s="1">
        <v>4.4922399999999998</v>
      </c>
      <c r="B12" s="1">
        <v>9.3672699999999995</v>
      </c>
      <c r="C12" s="1" t="s">
        <v>175</v>
      </c>
      <c r="D12" s="1" t="s">
        <v>321</v>
      </c>
    </row>
    <row r="13" spans="1:4" x14ac:dyDescent="0.25">
      <c r="A13" s="1">
        <v>4.83446</v>
      </c>
      <c r="B13" s="1">
        <v>8.8448200000000003</v>
      </c>
      <c r="C13" s="1" t="s">
        <v>173</v>
      </c>
      <c r="D13" s="1" t="s">
        <v>321</v>
      </c>
    </row>
    <row r="14" spans="1:4" x14ac:dyDescent="0.25">
      <c r="A14" s="1">
        <v>1.1380699999999999</v>
      </c>
      <c r="B14" s="1">
        <v>1.18313</v>
      </c>
      <c r="C14" s="1" t="s">
        <v>170</v>
      </c>
      <c r="D14" s="1" t="s">
        <v>324</v>
      </c>
    </row>
    <row r="15" spans="1:4" x14ac:dyDescent="0.25">
      <c r="A15" s="1">
        <v>19.931609999999999</v>
      </c>
      <c r="B15" s="1">
        <v>8.1467700000000001</v>
      </c>
      <c r="C15" s="1" t="s">
        <v>178</v>
      </c>
      <c r="D15" s="1" t="s">
        <v>332</v>
      </c>
    </row>
    <row r="16" spans="1:4" x14ac:dyDescent="0.25">
      <c r="A16" s="1">
        <v>4.2171200000000004</v>
      </c>
      <c r="B16" s="1">
        <v>3.7844799999999998</v>
      </c>
      <c r="C16" s="1" t="s">
        <v>171</v>
      </c>
      <c r="D16" s="1" t="s">
        <v>327</v>
      </c>
    </row>
    <row r="17" spans="1:4" x14ac:dyDescent="0.25">
      <c r="A17" s="1">
        <v>10.156140000000001</v>
      </c>
      <c r="B17" s="1">
        <v>6.7400000000000003E-3</v>
      </c>
      <c r="C17" s="1" t="s">
        <v>182</v>
      </c>
      <c r="D17" s="1" t="s">
        <v>321</v>
      </c>
    </row>
    <row r="18" spans="1:4" x14ac:dyDescent="0.25">
      <c r="A18" s="1">
        <v>14.22077</v>
      </c>
      <c r="B18" s="1">
        <v>5.0288500000000003</v>
      </c>
      <c r="C18" s="1" t="s">
        <v>179</v>
      </c>
      <c r="D18" s="1" t="s">
        <v>334</v>
      </c>
    </row>
    <row r="19" spans="1:4" x14ac:dyDescent="0.25">
      <c r="A19" s="1">
        <v>10.662240000000001</v>
      </c>
      <c r="B19" s="1">
        <v>10.815580000000001</v>
      </c>
      <c r="C19" s="1" t="s">
        <v>176</v>
      </c>
      <c r="D19" s="1" t="s">
        <v>324</v>
      </c>
    </row>
    <row r="20" spans="1:4" x14ac:dyDescent="0.25">
      <c r="A20" s="1">
        <v>10.75348</v>
      </c>
      <c r="B20" s="1">
        <v>19.10229</v>
      </c>
      <c r="C20" s="1" t="s">
        <v>183</v>
      </c>
      <c r="D20" s="1" t="s">
        <v>327</v>
      </c>
    </row>
    <row r="21" spans="1:4" x14ac:dyDescent="0.25">
      <c r="A21" s="1">
        <v>7.38734</v>
      </c>
      <c r="B21" s="1">
        <v>8.8931000000000004</v>
      </c>
      <c r="C21" s="1" t="s">
        <v>180</v>
      </c>
      <c r="D21" s="1" t="s">
        <v>334</v>
      </c>
    </row>
    <row r="22" spans="1:4" x14ac:dyDescent="0.25">
      <c r="A22" s="1">
        <v>21.763210000000001</v>
      </c>
      <c r="B22" s="1">
        <v>17.59198</v>
      </c>
      <c r="C22" s="1" t="s">
        <v>181</v>
      </c>
      <c r="D22" s="1" t="s">
        <v>321</v>
      </c>
    </row>
    <row r="23" spans="1:4" x14ac:dyDescent="0.25">
      <c r="A23" s="1">
        <v>1.1995</v>
      </c>
      <c r="B23" s="1">
        <v>0.72729999999999995</v>
      </c>
      <c r="C23" s="1" t="s">
        <v>174</v>
      </c>
      <c r="D23" s="1" t="s">
        <v>324</v>
      </c>
    </row>
    <row r="24" spans="1:4" x14ac:dyDescent="0.25">
      <c r="A24" s="1">
        <v>16.602309999999999</v>
      </c>
      <c r="B24" s="1">
        <v>6.2065799999999998</v>
      </c>
      <c r="C24" s="1" t="s">
        <v>172</v>
      </c>
      <c r="D24" s="1" t="s">
        <v>327</v>
      </c>
    </row>
    <row r="25" spans="1:4" x14ac:dyDescent="0.25">
      <c r="A25" s="1">
        <v>4.2659399999999996</v>
      </c>
      <c r="B25" s="1">
        <v>3.0100000000000001E-3</v>
      </c>
      <c r="C25" s="1" t="s">
        <v>169</v>
      </c>
      <c r="D25" s="1" t="s">
        <v>327</v>
      </c>
    </row>
    <row r="26" spans="1:4" x14ac:dyDescent="0.25">
      <c r="A26" s="1">
        <v>1.90892</v>
      </c>
      <c r="B26" s="1">
        <v>2.9853200000000002</v>
      </c>
      <c r="C26" s="1" t="s">
        <v>177</v>
      </c>
      <c r="D26" s="1" t="s">
        <v>324</v>
      </c>
    </row>
    <row r="27" spans="1:4" x14ac:dyDescent="0.25">
      <c r="A27" s="1">
        <v>7.9401099999999998</v>
      </c>
      <c r="B27" s="1">
        <v>1.6809999999999999E-2</v>
      </c>
      <c r="C27" s="1" t="s">
        <v>237</v>
      </c>
      <c r="D27" s="1" t="s">
        <v>321</v>
      </c>
    </row>
    <row r="28" spans="1:4" x14ac:dyDescent="0.25">
      <c r="A28" s="1">
        <v>22.509630000000001</v>
      </c>
      <c r="B28" s="1">
        <v>16.09545</v>
      </c>
      <c r="C28" s="1" t="s">
        <v>188</v>
      </c>
      <c r="D28" s="1" t="s">
        <v>327</v>
      </c>
    </row>
    <row r="29" spans="1:4" x14ac:dyDescent="0.25">
      <c r="A29" s="1">
        <v>2.4694500000000001</v>
      </c>
      <c r="B29" s="1">
        <v>3.5812599999999999</v>
      </c>
      <c r="C29" s="1" t="s">
        <v>184</v>
      </c>
      <c r="D29" s="1" t="s">
        <v>332</v>
      </c>
    </row>
    <row r="30" spans="1:4" x14ac:dyDescent="0.25">
      <c r="A30" s="1">
        <v>0.65844000000000003</v>
      </c>
      <c r="B30" s="1">
        <v>0.54773000000000005</v>
      </c>
      <c r="C30" s="1" t="s">
        <v>192</v>
      </c>
      <c r="D30" s="1" t="s">
        <v>327</v>
      </c>
    </row>
    <row r="31" spans="1:4" x14ac:dyDescent="0.25">
      <c r="A31" s="1">
        <v>20.591909999999999</v>
      </c>
      <c r="B31" s="1">
        <v>13.50478</v>
      </c>
      <c r="C31" s="1" t="s">
        <v>297</v>
      </c>
      <c r="D31" s="1" t="s">
        <v>327</v>
      </c>
    </row>
    <row r="32" spans="1:4" x14ac:dyDescent="0.25">
      <c r="A32" s="1">
        <v>11.415190000000001</v>
      </c>
      <c r="B32" s="1">
        <v>4.8312299999999997</v>
      </c>
      <c r="C32" s="1" t="s">
        <v>186</v>
      </c>
      <c r="D32" s="1" t="s">
        <v>334</v>
      </c>
    </row>
    <row r="33" spans="1:4" x14ac:dyDescent="0.25">
      <c r="A33" s="1">
        <v>5.33819</v>
      </c>
      <c r="B33" s="1">
        <v>4.8529099999999996</v>
      </c>
      <c r="C33" s="1" t="s">
        <v>187</v>
      </c>
      <c r="D33" s="1" t="s">
        <v>321</v>
      </c>
    </row>
    <row r="34" spans="1:4" x14ac:dyDescent="0.25">
      <c r="A34" s="1">
        <v>5.9046700000000003</v>
      </c>
      <c r="B34" s="1">
        <v>0.99743000000000004</v>
      </c>
      <c r="C34" s="1" t="s">
        <v>191</v>
      </c>
      <c r="D34" s="1" t="s">
        <v>334</v>
      </c>
    </row>
    <row r="35" spans="1:4" x14ac:dyDescent="0.25">
      <c r="A35" s="1">
        <v>3.4481700000000002</v>
      </c>
      <c r="B35" s="1">
        <v>9.0500000000000008E-3</v>
      </c>
      <c r="C35" s="1" t="s">
        <v>190</v>
      </c>
      <c r="D35" s="1" t="s">
        <v>327</v>
      </c>
    </row>
    <row r="36" spans="1:4" x14ac:dyDescent="0.25">
      <c r="A36" s="1">
        <v>7.1258900000000001</v>
      </c>
      <c r="B36" s="1">
        <v>2.7551000000000001</v>
      </c>
      <c r="C36" s="1" t="s">
        <v>193</v>
      </c>
      <c r="D36" s="1" t="s">
        <v>332</v>
      </c>
    </row>
    <row r="37" spans="1:4" x14ac:dyDescent="0.25">
      <c r="A37" s="1">
        <v>0.95130000000000003</v>
      </c>
      <c r="B37" s="1">
        <v>0.71597</v>
      </c>
      <c r="C37" s="1" t="s">
        <v>221</v>
      </c>
      <c r="D37" s="1" t="s">
        <v>324</v>
      </c>
    </row>
    <row r="38" spans="1:4" x14ac:dyDescent="0.25">
      <c r="A38" s="1">
        <v>2.2056200000000001</v>
      </c>
      <c r="B38" s="1">
        <v>2.3515899999999998</v>
      </c>
      <c r="C38" s="1" t="s">
        <v>194</v>
      </c>
      <c r="D38" s="1" t="s">
        <v>332</v>
      </c>
    </row>
    <row r="39" spans="1:4" x14ac:dyDescent="0.25">
      <c r="A39" s="1">
        <v>1.3885700000000001</v>
      </c>
      <c r="B39" s="1">
        <v>1.4918499999999999</v>
      </c>
      <c r="C39" s="1" t="s">
        <v>195</v>
      </c>
      <c r="D39" s="1" t="s">
        <v>321</v>
      </c>
    </row>
    <row r="40" spans="1:4" x14ac:dyDescent="0.25">
      <c r="A40" s="1">
        <v>0.47009000000000001</v>
      </c>
      <c r="B40" s="1">
        <v>0.22928999999999999</v>
      </c>
      <c r="C40" s="1" t="s">
        <v>196</v>
      </c>
      <c r="D40" s="1" t="s">
        <v>324</v>
      </c>
    </row>
    <row r="41" spans="1:4" x14ac:dyDescent="0.25">
      <c r="A41" s="1">
        <v>9.1655700000000007</v>
      </c>
      <c r="B41" s="1">
        <v>3.959E-2</v>
      </c>
      <c r="C41" s="1" t="s">
        <v>189</v>
      </c>
      <c r="D41" s="1" t="s">
        <v>327</v>
      </c>
    </row>
    <row r="42" spans="1:4" x14ac:dyDescent="0.25">
      <c r="A42" s="1">
        <v>0.22370000000000001</v>
      </c>
      <c r="B42" s="1">
        <v>0.42947999999999997</v>
      </c>
      <c r="C42" s="1" t="s">
        <v>198</v>
      </c>
      <c r="D42" s="1" t="s">
        <v>324</v>
      </c>
    </row>
    <row r="43" spans="1:4" x14ac:dyDescent="0.25">
      <c r="A43" s="1">
        <v>9.4755299999999991</v>
      </c>
      <c r="B43" s="1">
        <v>4.4492799999999999</v>
      </c>
      <c r="C43" s="1" t="s">
        <v>199</v>
      </c>
      <c r="D43" s="1" t="s">
        <v>332</v>
      </c>
    </row>
    <row r="44" spans="1:4" x14ac:dyDescent="0.25">
      <c r="A44" s="1">
        <v>8.8892299999999995</v>
      </c>
      <c r="B44" s="1">
        <v>5.0744300000000004</v>
      </c>
      <c r="C44" s="1" t="s">
        <v>201</v>
      </c>
      <c r="D44" s="1" t="s">
        <v>334</v>
      </c>
    </row>
    <row r="45" spans="1:4" x14ac:dyDescent="0.25">
      <c r="A45" s="1">
        <v>18.265419999999999</v>
      </c>
      <c r="B45" s="1">
        <v>7.6887999999999996</v>
      </c>
      <c r="C45" s="1" t="s">
        <v>202</v>
      </c>
      <c r="D45" s="1" t="s">
        <v>327</v>
      </c>
    </row>
    <row r="46" spans="1:4" x14ac:dyDescent="0.25">
      <c r="A46" s="1">
        <v>20.125389999999999</v>
      </c>
      <c r="B46" s="1">
        <v>2.5575999999999999</v>
      </c>
      <c r="C46" s="1" t="s">
        <v>288</v>
      </c>
      <c r="D46" s="1" t="s">
        <v>332</v>
      </c>
    </row>
    <row r="47" spans="1:4" x14ac:dyDescent="0.25">
      <c r="A47" s="1">
        <v>10.796559999999999</v>
      </c>
      <c r="B47" s="1">
        <v>6.3209099999999996</v>
      </c>
      <c r="C47" s="1" t="s">
        <v>203</v>
      </c>
      <c r="D47" s="1" t="s">
        <v>327</v>
      </c>
    </row>
    <row r="48" spans="1:4" x14ac:dyDescent="0.25">
      <c r="A48" s="1">
        <v>0.67896999999999996</v>
      </c>
      <c r="B48" s="1">
        <v>0.89985999999999999</v>
      </c>
      <c r="C48" s="1" t="s">
        <v>450</v>
      </c>
      <c r="D48" s="1" t="s">
        <v>324</v>
      </c>
    </row>
    <row r="49" spans="1:4" x14ac:dyDescent="0.25">
      <c r="A49" s="1">
        <v>22.897559999999999</v>
      </c>
      <c r="B49" s="1">
        <v>3.17387</v>
      </c>
      <c r="C49" s="1" t="s">
        <v>205</v>
      </c>
      <c r="D49" s="1" t="s">
        <v>327</v>
      </c>
    </row>
    <row r="50" spans="1:4" x14ac:dyDescent="0.25">
      <c r="A50" s="1">
        <v>4.5775499999999996</v>
      </c>
      <c r="B50" s="1">
        <v>1.0605599999999999</v>
      </c>
      <c r="C50" s="1" t="s">
        <v>207</v>
      </c>
      <c r="D50" s="1" t="s">
        <v>336</v>
      </c>
    </row>
    <row r="51" spans="1:4" x14ac:dyDescent="0.25">
      <c r="A51" s="1">
        <v>0.33334999999999998</v>
      </c>
      <c r="B51" s="1">
        <v>0.53876999999999997</v>
      </c>
      <c r="C51" s="1" t="s">
        <v>206</v>
      </c>
      <c r="D51" s="1" t="s">
        <v>324</v>
      </c>
    </row>
    <row r="52" spans="1:4" x14ac:dyDescent="0.25">
      <c r="A52" s="1">
        <v>1.35578</v>
      </c>
      <c r="B52" s="1">
        <v>1.35639</v>
      </c>
      <c r="C52" s="1" t="s">
        <v>208</v>
      </c>
      <c r="D52" s="1" t="s">
        <v>324</v>
      </c>
    </row>
    <row r="53" spans="1:4" x14ac:dyDescent="0.25">
      <c r="A53" s="1">
        <v>8.7056100000000001</v>
      </c>
      <c r="B53" s="1">
        <v>6.9223699999999999</v>
      </c>
      <c r="C53" s="1" t="s">
        <v>209</v>
      </c>
      <c r="D53" s="1" t="s">
        <v>327</v>
      </c>
    </row>
    <row r="54" spans="1:4" x14ac:dyDescent="0.25">
      <c r="A54" s="1">
        <v>13.193910000000001</v>
      </c>
      <c r="B54" s="1">
        <v>0.10614999999999999</v>
      </c>
      <c r="C54" s="1" t="s">
        <v>214</v>
      </c>
      <c r="D54" s="1" t="s">
        <v>327</v>
      </c>
    </row>
    <row r="55" spans="1:4" x14ac:dyDescent="0.25">
      <c r="A55" s="1">
        <v>2.12303</v>
      </c>
      <c r="B55" s="1">
        <v>0.10958</v>
      </c>
      <c r="C55" s="1" t="s">
        <v>211</v>
      </c>
      <c r="D55" s="1" t="s">
        <v>321</v>
      </c>
    </row>
    <row r="56" spans="1:4" x14ac:dyDescent="0.25">
      <c r="A56" s="1">
        <v>0.17455000000000001</v>
      </c>
      <c r="B56" s="1">
        <v>0.2409</v>
      </c>
      <c r="C56" s="1" t="s">
        <v>197</v>
      </c>
      <c r="D56" s="1" t="s">
        <v>324</v>
      </c>
    </row>
    <row r="57" spans="1:4" x14ac:dyDescent="0.25">
      <c r="A57" s="1">
        <v>11.36022</v>
      </c>
      <c r="B57" s="1">
        <v>5.8392900000000001</v>
      </c>
      <c r="C57" s="1" t="s">
        <v>212</v>
      </c>
      <c r="D57" s="1" t="s">
        <v>327</v>
      </c>
    </row>
    <row r="58" spans="1:4" x14ac:dyDescent="0.25">
      <c r="A58" s="1">
        <v>4.1294300000000002</v>
      </c>
      <c r="B58" s="1">
        <v>8.1809399999999997</v>
      </c>
      <c r="C58" s="1" t="s">
        <v>216</v>
      </c>
      <c r="D58" s="1" t="s">
        <v>324</v>
      </c>
    </row>
    <row r="59" spans="1:4" x14ac:dyDescent="0.25">
      <c r="A59" s="1">
        <v>2.1215799999999998</v>
      </c>
      <c r="B59" s="1">
        <v>1.5941099999999999</v>
      </c>
      <c r="C59" s="1" t="s">
        <v>217</v>
      </c>
      <c r="D59" s="1" t="s">
        <v>332</v>
      </c>
    </row>
    <row r="60" spans="1:4" x14ac:dyDescent="0.25">
      <c r="A60" s="1">
        <v>13.227220000000001</v>
      </c>
      <c r="B60" s="1">
        <v>9.0514299999999999</v>
      </c>
      <c r="C60" s="1" t="s">
        <v>218</v>
      </c>
      <c r="D60" s="1" t="s">
        <v>332</v>
      </c>
    </row>
    <row r="61" spans="1:4" x14ac:dyDescent="0.25">
      <c r="A61" s="1">
        <v>3.0809099999999998</v>
      </c>
      <c r="B61" s="1">
        <v>0.12082</v>
      </c>
      <c r="C61" s="1" t="s">
        <v>213</v>
      </c>
      <c r="D61" s="1" t="s">
        <v>327</v>
      </c>
    </row>
    <row r="62" spans="1:4" x14ac:dyDescent="0.25">
      <c r="A62" s="1">
        <v>10.26346</v>
      </c>
      <c r="B62" s="1">
        <v>2.1894200000000001</v>
      </c>
      <c r="C62" s="1" t="s">
        <v>215</v>
      </c>
      <c r="D62" s="1" t="s">
        <v>327</v>
      </c>
    </row>
    <row r="63" spans="1:4" x14ac:dyDescent="0.25">
      <c r="A63" s="1">
        <v>6.2104699999999999</v>
      </c>
      <c r="B63" s="1">
        <v>3.8300000000000001E-2</v>
      </c>
      <c r="C63" s="1" t="s">
        <v>219</v>
      </c>
      <c r="D63" s="1" t="s">
        <v>334</v>
      </c>
    </row>
    <row r="64" spans="1:4" x14ac:dyDescent="0.25">
      <c r="A64" s="1">
        <v>10.56578</v>
      </c>
      <c r="B64" s="1">
        <v>4.4974400000000001</v>
      </c>
      <c r="C64" s="1" t="s">
        <v>222</v>
      </c>
      <c r="D64" s="1" t="s">
        <v>332</v>
      </c>
    </row>
    <row r="65" spans="1:4" x14ac:dyDescent="0.25">
      <c r="A65" s="1">
        <v>13.62313</v>
      </c>
      <c r="B65" s="1">
        <v>1.83264</v>
      </c>
      <c r="C65" s="1" t="s">
        <v>220</v>
      </c>
      <c r="D65" s="1" t="s">
        <v>332</v>
      </c>
    </row>
    <row r="66" spans="1:4" x14ac:dyDescent="0.25">
      <c r="A66" s="1">
        <v>0.25583</v>
      </c>
      <c r="B66" s="1">
        <v>0.29263</v>
      </c>
      <c r="C66" s="1" t="s">
        <v>223</v>
      </c>
      <c r="D66" s="1" t="s">
        <v>324</v>
      </c>
    </row>
    <row r="67" spans="1:4" x14ac:dyDescent="0.25">
      <c r="A67" s="1">
        <v>9.8626500000000004</v>
      </c>
      <c r="B67" s="1">
        <v>8.6602599999999992</v>
      </c>
      <c r="C67" s="1" t="s">
        <v>225</v>
      </c>
      <c r="D67" s="1" t="s">
        <v>321</v>
      </c>
    </row>
    <row r="68" spans="1:4" x14ac:dyDescent="0.25">
      <c r="A68" s="1">
        <v>10.89446</v>
      </c>
      <c r="B68" s="1">
        <v>0.15129999999999999</v>
      </c>
      <c r="C68" s="1" t="s">
        <v>224</v>
      </c>
      <c r="D68" s="1" t="s">
        <v>321</v>
      </c>
    </row>
    <row r="69" spans="1:4" x14ac:dyDescent="0.25">
      <c r="A69" s="1">
        <v>9.7432200000000009</v>
      </c>
      <c r="B69" s="1">
        <v>13.71871</v>
      </c>
      <c r="C69" s="1" t="s">
        <v>227</v>
      </c>
      <c r="D69" s="1" t="s">
        <v>321</v>
      </c>
    </row>
    <row r="70" spans="1:4" x14ac:dyDescent="0.25">
      <c r="A70" s="1">
        <v>17.035039999999999</v>
      </c>
      <c r="B70" s="1">
        <v>2.6554199999999999</v>
      </c>
      <c r="C70" s="1" t="s">
        <v>228</v>
      </c>
      <c r="D70" s="1" t="s">
        <v>321</v>
      </c>
    </row>
    <row r="71" spans="1:4" x14ac:dyDescent="0.25">
      <c r="A71" s="1">
        <v>2.0181499999999999</v>
      </c>
      <c r="B71" s="1">
        <v>1.4448700000000001</v>
      </c>
      <c r="C71" s="1" t="s">
        <v>226</v>
      </c>
      <c r="D71" s="1" t="s">
        <v>324</v>
      </c>
    </row>
    <row r="72" spans="1:4" x14ac:dyDescent="0.25">
      <c r="A72" s="1">
        <v>5.20526</v>
      </c>
      <c r="B72" s="1">
        <v>6.1976500000000003</v>
      </c>
      <c r="C72" s="1" t="s">
        <v>229</v>
      </c>
      <c r="D72" s="1" t="s">
        <v>321</v>
      </c>
    </row>
    <row r="73" spans="1:4" x14ac:dyDescent="0.25">
      <c r="A73" s="1">
        <v>3.1243500000000002</v>
      </c>
      <c r="B73" s="1">
        <v>2.3385199999999999</v>
      </c>
      <c r="C73" s="1" t="s">
        <v>230</v>
      </c>
      <c r="D73" s="1" t="s">
        <v>324</v>
      </c>
    </row>
    <row r="74" spans="1:4" x14ac:dyDescent="0.25">
      <c r="A74" s="1">
        <v>7.8036899999999996</v>
      </c>
      <c r="B74" s="1">
        <v>8.4286499999999993</v>
      </c>
      <c r="C74" s="1" t="s">
        <v>231</v>
      </c>
      <c r="D74" s="1" t="s">
        <v>332</v>
      </c>
    </row>
    <row r="75" spans="1:4" x14ac:dyDescent="0.25">
      <c r="A75" s="1">
        <v>16.261060000000001</v>
      </c>
      <c r="B75" s="1">
        <v>5.8423600000000002</v>
      </c>
      <c r="C75" s="1" t="s">
        <v>233</v>
      </c>
      <c r="D75" s="1" t="s">
        <v>321</v>
      </c>
    </row>
    <row r="76" spans="1:4" x14ac:dyDescent="0.25">
      <c r="A76" s="1">
        <v>9.3153699999999997</v>
      </c>
      <c r="B76" s="1">
        <v>10.30658</v>
      </c>
      <c r="C76" s="1" t="s">
        <v>232</v>
      </c>
      <c r="D76" s="1" t="s">
        <v>321</v>
      </c>
    </row>
    <row r="77" spans="1:4" x14ac:dyDescent="0.25">
      <c r="A77" s="1">
        <v>5.34999</v>
      </c>
      <c r="B77" s="1">
        <v>6.4273899999999999</v>
      </c>
      <c r="C77" s="1" t="s">
        <v>234</v>
      </c>
      <c r="D77" s="1" t="s">
        <v>321</v>
      </c>
    </row>
    <row r="78" spans="1:4" x14ac:dyDescent="0.25">
      <c r="A78" s="1">
        <v>20.190989999999999</v>
      </c>
      <c r="B78" s="1">
        <v>18.47738</v>
      </c>
      <c r="C78" s="1" t="s">
        <v>235</v>
      </c>
      <c r="D78" s="1" t="s">
        <v>327</v>
      </c>
    </row>
    <row r="79" spans="1:4" x14ac:dyDescent="0.25">
      <c r="A79" s="1">
        <v>22.023199999999999</v>
      </c>
      <c r="B79" s="1">
        <v>21.753810000000001</v>
      </c>
      <c r="C79" s="1" t="s">
        <v>239</v>
      </c>
      <c r="D79" s="1" t="s">
        <v>321</v>
      </c>
    </row>
    <row r="80" spans="1:4" x14ac:dyDescent="0.25">
      <c r="A80" s="1">
        <v>8.4880399999999998</v>
      </c>
      <c r="B80" s="1">
        <v>0.22527</v>
      </c>
      <c r="C80" s="1" t="s">
        <v>236</v>
      </c>
      <c r="D80" s="1" t="s">
        <v>321</v>
      </c>
    </row>
    <row r="81" spans="1:4" x14ac:dyDescent="0.25">
      <c r="A81" s="1">
        <v>9.6806699999999992</v>
      </c>
      <c r="B81" s="1">
        <v>4.5370000000000001E-2</v>
      </c>
      <c r="C81" s="1" t="s">
        <v>240</v>
      </c>
      <c r="D81" s="1" t="s">
        <v>321</v>
      </c>
    </row>
    <row r="82" spans="1:4" x14ac:dyDescent="0.25">
      <c r="A82" s="1">
        <v>8.6313300000000002</v>
      </c>
      <c r="B82" s="1">
        <v>9.5675100000000004</v>
      </c>
      <c r="C82" s="1" t="s">
        <v>241</v>
      </c>
      <c r="D82" s="1" t="s">
        <v>321</v>
      </c>
    </row>
    <row r="83" spans="1:4" x14ac:dyDescent="0.25">
      <c r="A83" s="1">
        <v>13.871650000000001</v>
      </c>
      <c r="B83" s="1">
        <v>10.28271</v>
      </c>
      <c r="C83" s="1" t="s">
        <v>245</v>
      </c>
      <c r="D83" s="1" t="s">
        <v>327</v>
      </c>
    </row>
    <row r="84" spans="1:4" x14ac:dyDescent="0.25">
      <c r="A84" s="1">
        <v>5.8845799999999997</v>
      </c>
      <c r="B84" s="1">
        <v>3.7310000000000003E-2</v>
      </c>
      <c r="C84" s="1" t="s">
        <v>242</v>
      </c>
      <c r="D84" s="1" t="s">
        <v>327</v>
      </c>
    </row>
    <row r="85" spans="1:4" x14ac:dyDescent="0.25">
      <c r="A85" s="1">
        <v>5.1362699999999997</v>
      </c>
      <c r="B85" s="1">
        <v>10.75962</v>
      </c>
      <c r="C85" s="1" t="s">
        <v>243</v>
      </c>
      <c r="D85" s="1" t="s">
        <v>327</v>
      </c>
    </row>
    <row r="86" spans="1:4" x14ac:dyDescent="0.25">
      <c r="A86" s="1">
        <v>0.86104999999999998</v>
      </c>
      <c r="B86" s="1">
        <v>1.4271400000000001</v>
      </c>
      <c r="C86" s="1" t="s">
        <v>246</v>
      </c>
      <c r="D86" s="1" t="s">
        <v>324</v>
      </c>
    </row>
    <row r="87" spans="1:4" x14ac:dyDescent="0.25">
      <c r="A87" s="1">
        <v>1.7413700000000001</v>
      </c>
      <c r="B87" s="1">
        <v>0.45068999999999998</v>
      </c>
      <c r="C87" s="1" t="s">
        <v>250</v>
      </c>
      <c r="D87" s="1" t="s">
        <v>324</v>
      </c>
    </row>
    <row r="88" spans="1:4" x14ac:dyDescent="0.25">
      <c r="A88" s="1">
        <v>16.167020000000001</v>
      </c>
      <c r="B88" s="1">
        <v>5.679E-2</v>
      </c>
      <c r="C88" s="1" t="s">
        <v>248</v>
      </c>
      <c r="D88" s="1" t="s">
        <v>327</v>
      </c>
    </row>
    <row r="89" spans="1:4" x14ac:dyDescent="0.25">
      <c r="A89" s="1">
        <v>16.918189999999999</v>
      </c>
      <c r="B89" s="1">
        <v>20.358319999999999</v>
      </c>
      <c r="C89" s="1" t="s">
        <v>259</v>
      </c>
      <c r="D89" s="1" t="s">
        <v>327</v>
      </c>
    </row>
    <row r="90" spans="1:4" x14ac:dyDescent="0.25">
      <c r="A90" s="1">
        <v>4.9903500000000003</v>
      </c>
      <c r="B90" s="1">
        <v>0.36770999999999998</v>
      </c>
      <c r="C90" s="1" t="s">
        <v>260</v>
      </c>
      <c r="D90" s="1" t="s">
        <v>321</v>
      </c>
    </row>
    <row r="91" spans="1:4" x14ac:dyDescent="0.25">
      <c r="A91" s="1">
        <v>20.190059999999999</v>
      </c>
      <c r="B91" s="1">
        <v>0.20727999999999999</v>
      </c>
      <c r="C91" s="1" t="s">
        <v>251</v>
      </c>
      <c r="D91" s="1" t="s">
        <v>327</v>
      </c>
    </row>
    <row r="92" spans="1:4" x14ac:dyDescent="0.25">
      <c r="A92" s="1">
        <v>0.32799</v>
      </c>
      <c r="B92" s="1">
        <v>0.68101999999999996</v>
      </c>
      <c r="C92" s="1" t="s">
        <v>252</v>
      </c>
      <c r="D92" s="1" t="s">
        <v>324</v>
      </c>
    </row>
    <row r="93" spans="1:4" x14ac:dyDescent="0.25">
      <c r="A93" s="1">
        <v>20.75459</v>
      </c>
      <c r="B93" s="1">
        <v>20.191490000000002</v>
      </c>
      <c r="C93" s="1" t="s">
        <v>257</v>
      </c>
      <c r="D93" s="1" t="s">
        <v>327</v>
      </c>
    </row>
    <row r="94" spans="1:4" x14ac:dyDescent="0.25">
      <c r="A94" s="1">
        <v>2.3140299999999998</v>
      </c>
      <c r="B94" s="1">
        <v>3.6759599999999999</v>
      </c>
      <c r="C94" s="1" t="s">
        <v>258</v>
      </c>
      <c r="D94" s="1" t="s">
        <v>327</v>
      </c>
    </row>
    <row r="95" spans="1:4" x14ac:dyDescent="0.25">
      <c r="A95" s="1">
        <v>7.9741400000000002</v>
      </c>
      <c r="B95" s="1">
        <v>7.31358</v>
      </c>
      <c r="C95" s="1" t="s">
        <v>249</v>
      </c>
      <c r="D95" s="1" t="s">
        <v>332</v>
      </c>
    </row>
    <row r="96" spans="1:4" x14ac:dyDescent="0.25">
      <c r="A96" s="1">
        <v>1.72306</v>
      </c>
      <c r="B96" s="1">
        <v>3.0728399999999998</v>
      </c>
      <c r="C96" s="1" t="s">
        <v>255</v>
      </c>
      <c r="D96" s="1" t="s">
        <v>321</v>
      </c>
    </row>
    <row r="97" spans="1:4" x14ac:dyDescent="0.25">
      <c r="A97" s="1">
        <v>3.8504200000000002</v>
      </c>
      <c r="B97" s="1">
        <v>7.3122400000000001</v>
      </c>
      <c r="C97" s="1" t="s">
        <v>254</v>
      </c>
      <c r="D97" s="1" t="s">
        <v>324</v>
      </c>
    </row>
    <row r="98" spans="1:4" x14ac:dyDescent="0.25">
      <c r="A98" s="1">
        <v>6.2953900000000003</v>
      </c>
      <c r="B98" s="1">
        <v>7.6209300000000004</v>
      </c>
      <c r="C98" s="1" t="s">
        <v>247</v>
      </c>
      <c r="D98" s="1" t="s">
        <v>327</v>
      </c>
    </row>
    <row r="99" spans="1:4" x14ac:dyDescent="0.25">
      <c r="A99" s="1">
        <v>10.65151</v>
      </c>
      <c r="B99" s="1">
        <v>9.0558200000000006</v>
      </c>
      <c r="C99" s="1" t="s">
        <v>256</v>
      </c>
      <c r="D99" s="1" t="s">
        <v>327</v>
      </c>
    </row>
    <row r="100" spans="1:4" x14ac:dyDescent="0.25">
      <c r="A100" s="1">
        <v>13.87261</v>
      </c>
      <c r="B100" s="1">
        <v>1.21716</v>
      </c>
      <c r="C100" s="1" t="s">
        <v>253</v>
      </c>
      <c r="D100" s="1" t="s">
        <v>321</v>
      </c>
    </row>
    <row r="101" spans="1:4" x14ac:dyDescent="0.25">
      <c r="A101" s="1">
        <v>17.383279999999999</v>
      </c>
      <c r="B101" s="1">
        <v>21.657319999999999</v>
      </c>
      <c r="C101" s="1" t="s">
        <v>261</v>
      </c>
      <c r="D101" s="1" t="s">
        <v>327</v>
      </c>
    </row>
    <row r="102" spans="1:4" x14ac:dyDescent="0.25">
      <c r="A102" s="1">
        <v>8.5955399999999997</v>
      </c>
      <c r="B102" s="1">
        <v>1.9414800000000001</v>
      </c>
      <c r="C102" s="1" t="s">
        <v>267</v>
      </c>
      <c r="D102" s="1" t="s">
        <v>321</v>
      </c>
    </row>
    <row r="103" spans="1:4" x14ac:dyDescent="0.25">
      <c r="A103" s="1">
        <v>0.14337</v>
      </c>
      <c r="B103" s="1">
        <v>0.10213</v>
      </c>
      <c r="C103" s="1" t="s">
        <v>265</v>
      </c>
      <c r="D103" s="1" t="s">
        <v>324</v>
      </c>
    </row>
    <row r="104" spans="1:4" x14ac:dyDescent="0.25">
      <c r="A104" s="1">
        <v>4.3679399999999999</v>
      </c>
      <c r="B104" s="1">
        <v>9.5691799999999994</v>
      </c>
      <c r="C104" s="1" t="s">
        <v>268</v>
      </c>
      <c r="D104" s="1" t="s">
        <v>336</v>
      </c>
    </row>
    <row r="105" spans="1:4" x14ac:dyDescent="0.25">
      <c r="A105" s="1">
        <v>10.78012</v>
      </c>
      <c r="B105" s="1">
        <v>12.74817</v>
      </c>
      <c r="C105" s="1" t="s">
        <v>264</v>
      </c>
      <c r="D105" s="1" t="s">
        <v>332</v>
      </c>
    </row>
    <row r="106" spans="1:4" x14ac:dyDescent="0.25">
      <c r="A106" s="1">
        <v>13.33558</v>
      </c>
      <c r="B106" s="1">
        <v>0.62395999999999996</v>
      </c>
      <c r="C106" s="1" t="s">
        <v>262</v>
      </c>
      <c r="D106" s="1" t="s">
        <v>327</v>
      </c>
    </row>
    <row r="107" spans="1:4" x14ac:dyDescent="0.25">
      <c r="A107" s="1">
        <v>20.272110000000001</v>
      </c>
      <c r="B107" s="1">
        <v>8.4276300000000006</v>
      </c>
      <c r="C107" s="1" t="s">
        <v>263</v>
      </c>
      <c r="D107" s="1" t="s">
        <v>327</v>
      </c>
    </row>
    <row r="108" spans="1:4" x14ac:dyDescent="0.25">
      <c r="A108" s="1">
        <v>2.7065700000000001</v>
      </c>
      <c r="B108" s="1">
        <v>0.93059000000000003</v>
      </c>
      <c r="C108" s="1" t="s">
        <v>277</v>
      </c>
      <c r="D108" s="1" t="s">
        <v>321</v>
      </c>
    </row>
    <row r="109" spans="1:4" x14ac:dyDescent="0.25">
      <c r="A109" s="1">
        <v>0.79120999999999997</v>
      </c>
      <c r="B109" s="1">
        <v>7.6770000000000005E-2</v>
      </c>
      <c r="C109" s="1" t="s">
        <v>266</v>
      </c>
      <c r="D109" s="1" t="s">
        <v>324</v>
      </c>
    </row>
    <row r="110" spans="1:4" x14ac:dyDescent="0.25">
      <c r="A110" s="1">
        <v>20.435449999999999</v>
      </c>
      <c r="B110" s="1">
        <v>24.37846</v>
      </c>
      <c r="C110" s="1" t="s">
        <v>269</v>
      </c>
      <c r="D110" s="1" t="s">
        <v>321</v>
      </c>
    </row>
    <row r="111" spans="1:4" x14ac:dyDescent="0.25">
      <c r="A111" s="1">
        <v>9.9720700000000004</v>
      </c>
      <c r="B111" s="1">
        <v>8.0663300000000007</v>
      </c>
      <c r="C111" s="1" t="s">
        <v>270</v>
      </c>
      <c r="D111" s="1" t="s">
        <v>321</v>
      </c>
    </row>
    <row r="112" spans="1:4" x14ac:dyDescent="0.25">
      <c r="A112" s="1">
        <v>5.9902300000000004</v>
      </c>
      <c r="B112" s="1">
        <v>2.4078200000000001</v>
      </c>
      <c r="C112" s="1" t="s">
        <v>271</v>
      </c>
      <c r="D112" s="1" t="s">
        <v>332</v>
      </c>
    </row>
    <row r="113" spans="1:4" x14ac:dyDescent="0.25">
      <c r="A113" s="1">
        <v>11.375249999999999</v>
      </c>
      <c r="B113" s="1">
        <v>5.1593499999999999</v>
      </c>
      <c r="C113" s="1" t="s">
        <v>274</v>
      </c>
      <c r="D113" s="1" t="s">
        <v>336</v>
      </c>
    </row>
    <row r="114" spans="1:4" x14ac:dyDescent="0.25">
      <c r="A114" s="1">
        <v>15.917809999999999</v>
      </c>
      <c r="B114" s="1">
        <v>4.7506700000000004</v>
      </c>
      <c r="C114" s="1" t="s">
        <v>279</v>
      </c>
      <c r="D114" s="1" t="s">
        <v>334</v>
      </c>
    </row>
    <row r="115" spans="1:4" x14ac:dyDescent="0.25">
      <c r="A115" s="1">
        <v>5.9376699999999998</v>
      </c>
      <c r="B115" s="1">
        <v>8.3642299999999992</v>
      </c>
      <c r="C115" s="1" t="s">
        <v>272</v>
      </c>
      <c r="D115" s="1" t="s">
        <v>334</v>
      </c>
    </row>
    <row r="116" spans="1:4" x14ac:dyDescent="0.25">
      <c r="A116" s="1">
        <v>20.601500000000001</v>
      </c>
      <c r="B116" s="1">
        <v>6.6064699999999998</v>
      </c>
      <c r="C116" s="1" t="s">
        <v>273</v>
      </c>
      <c r="D116" s="1" t="s">
        <v>321</v>
      </c>
    </row>
    <row r="117" spans="1:4" x14ac:dyDescent="0.25">
      <c r="A117" s="1">
        <v>0.68823000000000001</v>
      </c>
      <c r="B117" s="1">
        <v>0.10749</v>
      </c>
      <c r="C117" s="1" t="s">
        <v>275</v>
      </c>
      <c r="D117" s="1" t="s">
        <v>324</v>
      </c>
    </row>
    <row r="118" spans="1:4" x14ac:dyDescent="0.25">
      <c r="A118" s="1">
        <v>5.8905799999999999</v>
      </c>
      <c r="B118" s="1">
        <v>5.1355599999999999</v>
      </c>
      <c r="C118" s="1" t="s">
        <v>278</v>
      </c>
      <c r="D118" s="1" t="s">
        <v>324</v>
      </c>
    </row>
    <row r="119" spans="1:4" x14ac:dyDescent="0.25">
      <c r="A119" s="1">
        <v>1.51007</v>
      </c>
      <c r="B119" s="1">
        <v>1.2293400000000001</v>
      </c>
      <c r="C119" s="1" t="s">
        <v>276</v>
      </c>
      <c r="D119" s="1" t="s">
        <v>332</v>
      </c>
    </row>
    <row r="120" spans="1:4" x14ac:dyDescent="0.25">
      <c r="A120" s="1">
        <v>8.1532900000000001</v>
      </c>
      <c r="B120" s="1">
        <v>8.9687999999999999</v>
      </c>
      <c r="C120" s="1" t="s">
        <v>280</v>
      </c>
      <c r="D120" s="1" t="s">
        <v>321</v>
      </c>
    </row>
    <row r="121" spans="1:4" x14ac:dyDescent="0.25">
      <c r="A121" s="1">
        <v>0.32612999999999998</v>
      </c>
      <c r="B121" s="1">
        <v>0.28140999999999999</v>
      </c>
      <c r="C121" s="1" t="s">
        <v>281</v>
      </c>
      <c r="D121" s="1" t="s">
        <v>324</v>
      </c>
    </row>
    <row r="122" spans="1:4" x14ac:dyDescent="0.25">
      <c r="A122" s="1">
        <v>5.3838100000000004</v>
      </c>
      <c r="B122" s="1">
        <v>5.2728700000000002</v>
      </c>
      <c r="C122" s="1" t="s">
        <v>282</v>
      </c>
      <c r="D122" s="1" t="s">
        <v>324</v>
      </c>
    </row>
    <row r="123" spans="1:4" x14ac:dyDescent="0.25">
      <c r="A123" s="1">
        <v>13.54893</v>
      </c>
      <c r="B123" s="1">
        <v>0.31628000000000001</v>
      </c>
      <c r="C123" s="1" t="s">
        <v>283</v>
      </c>
      <c r="D123" s="1" t="s">
        <v>327</v>
      </c>
    </row>
    <row r="124" spans="1:4" x14ac:dyDescent="0.25">
      <c r="A124" s="1">
        <v>14.77289</v>
      </c>
      <c r="B124" s="1">
        <v>22.464289999999998</v>
      </c>
      <c r="C124" s="1" t="s">
        <v>284</v>
      </c>
      <c r="D124" s="1" t="s">
        <v>321</v>
      </c>
    </row>
    <row r="125" spans="1:4" x14ac:dyDescent="0.25">
      <c r="A125" s="1">
        <v>17.854209999999998</v>
      </c>
      <c r="B125" s="1">
        <v>2.3099699999999999</v>
      </c>
      <c r="C125" s="1" t="s">
        <v>286</v>
      </c>
      <c r="D125" s="1" t="s">
        <v>327</v>
      </c>
    </row>
    <row r="126" spans="1:4" x14ac:dyDescent="0.25">
      <c r="A126" s="1">
        <v>0.78395000000000004</v>
      </c>
      <c r="B126" s="1">
        <v>0.29420000000000002</v>
      </c>
      <c r="C126" s="1" t="s">
        <v>290</v>
      </c>
      <c r="D126" s="1" t="s">
        <v>324</v>
      </c>
    </row>
    <row r="127" spans="1:4" x14ac:dyDescent="0.25">
      <c r="A127" s="1">
        <v>0.11285000000000001</v>
      </c>
      <c r="B127" s="1">
        <v>0.10038999999999999</v>
      </c>
      <c r="C127" s="1" t="s">
        <v>295</v>
      </c>
      <c r="D127" s="1" t="s">
        <v>327</v>
      </c>
    </row>
    <row r="128" spans="1:4" x14ac:dyDescent="0.25">
      <c r="A128" s="1">
        <v>1.5972200000000001</v>
      </c>
      <c r="B128" s="1">
        <v>1.5399999999999999E-3</v>
      </c>
      <c r="C128" s="1" t="s">
        <v>287</v>
      </c>
      <c r="D128" s="1" t="s">
        <v>327</v>
      </c>
    </row>
    <row r="129" spans="1:4" x14ac:dyDescent="0.25">
      <c r="A129" s="1">
        <v>0.12756000000000001</v>
      </c>
      <c r="B129" s="1">
        <v>0.16314000000000001</v>
      </c>
      <c r="C129" s="1" t="s">
        <v>292</v>
      </c>
      <c r="D129" s="1" t="s">
        <v>324</v>
      </c>
    </row>
    <row r="130" spans="1:4" x14ac:dyDescent="0.25">
      <c r="A130" s="1">
        <v>0.56457000000000002</v>
      </c>
      <c r="B130" s="1">
        <v>0.58031999999999995</v>
      </c>
      <c r="C130" s="1" t="s">
        <v>293</v>
      </c>
      <c r="D130" s="1" t="s">
        <v>324</v>
      </c>
    </row>
    <row r="131" spans="1:4" x14ac:dyDescent="0.25">
      <c r="A131" s="1">
        <v>3.4420000000000002</v>
      </c>
      <c r="B131" s="1">
        <v>0.53852999999999995</v>
      </c>
      <c r="C131" s="1" t="s">
        <v>289</v>
      </c>
      <c r="D131" s="1" t="s">
        <v>327</v>
      </c>
    </row>
    <row r="132" spans="1:4" x14ac:dyDescent="0.25">
      <c r="A132" s="1">
        <v>6.3286699999999998</v>
      </c>
      <c r="B132" s="1">
        <v>7.9768100000000004</v>
      </c>
      <c r="C132" s="1" t="s">
        <v>314</v>
      </c>
      <c r="D132" s="1" t="s">
        <v>327</v>
      </c>
    </row>
    <row r="133" spans="1:4" x14ac:dyDescent="0.25">
      <c r="A133" s="1">
        <v>17.154789999999998</v>
      </c>
      <c r="B133" s="1">
        <v>1.4607699999999999</v>
      </c>
      <c r="C133" s="1" t="s">
        <v>238</v>
      </c>
      <c r="D133" s="1" t="s">
        <v>321</v>
      </c>
    </row>
    <row r="134" spans="1:4" x14ac:dyDescent="0.25">
      <c r="A134" s="1">
        <v>5.5234500000000004</v>
      </c>
      <c r="B134" s="1">
        <v>7.2620300000000002</v>
      </c>
      <c r="C134" s="1" t="s">
        <v>204</v>
      </c>
      <c r="D134" s="1" t="s">
        <v>324</v>
      </c>
    </row>
    <row r="135" spans="1:4" x14ac:dyDescent="0.25">
      <c r="A135" s="1">
        <v>16.154389999999999</v>
      </c>
      <c r="B135" s="1">
        <v>0.25044</v>
      </c>
      <c r="C135" s="1" t="s">
        <v>244</v>
      </c>
      <c r="D135" s="1" t="s">
        <v>321</v>
      </c>
    </row>
    <row r="136" spans="1:4" x14ac:dyDescent="0.25">
      <c r="A136" s="1">
        <v>9.1356699999999993</v>
      </c>
      <c r="B136" s="1">
        <v>0.72321000000000002</v>
      </c>
      <c r="C136" s="1" t="s">
        <v>285</v>
      </c>
      <c r="D136" s="1" t="s">
        <v>327</v>
      </c>
    </row>
    <row r="137" spans="1:4" x14ac:dyDescent="0.25">
      <c r="A137" s="1">
        <v>8.7925699999999996</v>
      </c>
      <c r="B137" s="1">
        <v>0.29303000000000001</v>
      </c>
      <c r="C137" s="1" t="s">
        <v>291</v>
      </c>
      <c r="D137" s="1" t="s">
        <v>334</v>
      </c>
    </row>
    <row r="138" spans="1:4" x14ac:dyDescent="0.25">
      <c r="A138" s="1">
        <v>0.34421000000000002</v>
      </c>
      <c r="B138" s="1">
        <v>0.51290999999999998</v>
      </c>
      <c r="C138" s="1" t="s">
        <v>294</v>
      </c>
      <c r="D138" s="1" t="s">
        <v>324</v>
      </c>
    </row>
    <row r="139" spans="1:4" x14ac:dyDescent="0.25">
      <c r="A139" s="1">
        <v>1.09253</v>
      </c>
      <c r="B139" s="1">
        <v>1.7030799999999999</v>
      </c>
      <c r="C139" s="1" t="s">
        <v>185</v>
      </c>
      <c r="D139" s="1" t="s">
        <v>324</v>
      </c>
    </row>
    <row r="140" spans="1:4" x14ac:dyDescent="0.25">
      <c r="A140" s="1">
        <v>8.7985000000000007</v>
      </c>
      <c r="B140" s="1">
        <v>13.250170000000001</v>
      </c>
      <c r="C140" s="1" t="s">
        <v>296</v>
      </c>
      <c r="D140" s="1" t="s">
        <v>321</v>
      </c>
    </row>
    <row r="141" spans="1:4" x14ac:dyDescent="0.25">
      <c r="A141" s="1">
        <v>13.30348</v>
      </c>
      <c r="B141" s="1">
        <v>1.7463599999999999</v>
      </c>
      <c r="C141" s="1" t="s">
        <v>300</v>
      </c>
      <c r="D141" s="1" t="s">
        <v>321</v>
      </c>
    </row>
    <row r="142" spans="1:4" x14ac:dyDescent="0.25">
      <c r="A142" s="1">
        <v>20.84151</v>
      </c>
      <c r="B142" s="1">
        <v>5.8485199999999997</v>
      </c>
      <c r="C142" s="1" t="s">
        <v>305</v>
      </c>
      <c r="D142" s="1" t="s">
        <v>327</v>
      </c>
    </row>
    <row r="143" spans="1:4" x14ac:dyDescent="0.25">
      <c r="A143" s="1">
        <v>7.9160899999999996</v>
      </c>
      <c r="B143" s="1">
        <v>1.18041</v>
      </c>
      <c r="C143" s="1" t="s">
        <v>299</v>
      </c>
      <c r="D143" s="1" t="s">
        <v>321</v>
      </c>
    </row>
    <row r="144" spans="1:4" x14ac:dyDescent="0.25">
      <c r="A144" s="1">
        <v>9.1758600000000001</v>
      </c>
      <c r="B144" s="1">
        <v>2.7878500000000002</v>
      </c>
      <c r="C144" s="1" t="s">
        <v>298</v>
      </c>
      <c r="D144" s="1" t="s">
        <v>327</v>
      </c>
    </row>
    <row r="145" spans="1:4" x14ac:dyDescent="0.25">
      <c r="A145" s="1">
        <v>3.4629699999999999</v>
      </c>
      <c r="B145" s="1">
        <v>1.55345</v>
      </c>
      <c r="C145" s="1" t="s">
        <v>302</v>
      </c>
      <c r="D145" s="1" t="s">
        <v>332</v>
      </c>
    </row>
    <row r="146" spans="1:4" x14ac:dyDescent="0.25">
      <c r="A146" s="1">
        <v>4.29331</v>
      </c>
      <c r="B146" s="1">
        <v>6.0844399999999998</v>
      </c>
      <c r="C146" s="1" t="s">
        <v>303</v>
      </c>
      <c r="D146" s="1" t="s">
        <v>327</v>
      </c>
    </row>
    <row r="147" spans="1:4" x14ac:dyDescent="0.25">
      <c r="A147" s="1">
        <v>5.3309699999999998</v>
      </c>
      <c r="B147" s="1">
        <v>3.9319999999999999</v>
      </c>
      <c r="C147" s="1" t="s">
        <v>304</v>
      </c>
      <c r="D147" s="1" t="s">
        <v>321</v>
      </c>
    </row>
    <row r="148" spans="1:4" x14ac:dyDescent="0.25">
      <c r="A148" s="1">
        <v>12.92577</v>
      </c>
      <c r="B148" s="1">
        <v>0.38216</v>
      </c>
      <c r="C148" s="1" t="s">
        <v>301</v>
      </c>
      <c r="D148" s="1" t="s">
        <v>321</v>
      </c>
    </row>
    <row r="149" spans="1:4" x14ac:dyDescent="0.25">
      <c r="A149" s="1">
        <v>11.068250000000001</v>
      </c>
      <c r="B149" s="1">
        <v>0.76554</v>
      </c>
      <c r="C149" s="1" t="s">
        <v>306</v>
      </c>
      <c r="D149" s="1" t="s">
        <v>327</v>
      </c>
    </row>
    <row r="150" spans="1:4" x14ac:dyDescent="0.25">
      <c r="A150" s="1">
        <v>0.64637</v>
      </c>
      <c r="B150" s="1">
        <v>0.75341999999999998</v>
      </c>
      <c r="C150" s="1" t="s">
        <v>307</v>
      </c>
      <c r="D150" s="1" t="s">
        <v>324</v>
      </c>
    </row>
    <row r="151" spans="1:4" x14ac:dyDescent="0.25">
      <c r="A151" s="1">
        <v>11.599320000000001</v>
      </c>
      <c r="B151" s="1">
        <v>22.625029999999999</v>
      </c>
      <c r="C151" s="1" t="s">
        <v>162</v>
      </c>
      <c r="D151" s="1" t="s">
        <v>321</v>
      </c>
    </row>
    <row r="152" spans="1:4" x14ac:dyDescent="0.25">
      <c r="A152" s="1">
        <v>0.23338</v>
      </c>
      <c r="B152" s="1">
        <v>0.15482000000000001</v>
      </c>
      <c r="C152" s="1" t="s">
        <v>210</v>
      </c>
      <c r="D152" s="1" t="s">
        <v>324</v>
      </c>
    </row>
    <row r="153" spans="1:4" x14ac:dyDescent="0.25">
      <c r="A153" s="1">
        <v>6.1955200000000001</v>
      </c>
      <c r="B153" s="1">
        <v>7.2369700000000003</v>
      </c>
      <c r="C153" s="1" t="s">
        <v>309</v>
      </c>
      <c r="D153" s="1" t="s">
        <v>332</v>
      </c>
    </row>
    <row r="154" spans="1:4" x14ac:dyDescent="0.25">
      <c r="A154" s="1">
        <v>12.26695</v>
      </c>
      <c r="B154" s="1">
        <v>3.6766100000000002</v>
      </c>
      <c r="C154" s="1" t="s">
        <v>308</v>
      </c>
      <c r="D154" s="1" t="s">
        <v>334</v>
      </c>
    </row>
    <row r="155" spans="1:4" x14ac:dyDescent="0.25">
      <c r="A155" s="1">
        <v>12.25522</v>
      </c>
      <c r="B155" s="1">
        <v>1.58226</v>
      </c>
      <c r="C155" s="1" t="s">
        <v>310</v>
      </c>
      <c r="D155" s="1" t="s">
        <v>321</v>
      </c>
    </row>
    <row r="156" spans="1:4" x14ac:dyDescent="0.25">
      <c r="A156" s="1">
        <v>19.38936</v>
      </c>
      <c r="B156" s="1">
        <v>17.75591</v>
      </c>
      <c r="C156" s="1" t="s">
        <v>311</v>
      </c>
      <c r="D156" s="1" t="s">
        <v>334</v>
      </c>
    </row>
    <row r="157" spans="1:4" x14ac:dyDescent="0.25">
      <c r="A157" s="1">
        <v>14.52641</v>
      </c>
      <c r="B157" s="1">
        <v>0.19378999999999999</v>
      </c>
      <c r="C157" s="1" t="s">
        <v>312</v>
      </c>
      <c r="D157" s="1" t="s">
        <v>321</v>
      </c>
    </row>
    <row r="158" spans="1:4" x14ac:dyDescent="0.25">
      <c r="A158" s="1">
        <v>3.54542</v>
      </c>
      <c r="B158" s="1">
        <v>10.0276</v>
      </c>
      <c r="C158" s="1" t="s">
        <v>313</v>
      </c>
      <c r="D158" s="1" t="s">
        <v>321</v>
      </c>
    </row>
    <row r="159" spans="1:4" x14ac:dyDescent="0.25">
      <c r="A159" s="1">
        <v>6.5477400000000001</v>
      </c>
      <c r="B159" s="1">
        <v>4.2418100000000001</v>
      </c>
      <c r="C159" s="1" t="s">
        <v>315</v>
      </c>
      <c r="D159" s="1" t="s">
        <v>327</v>
      </c>
    </row>
    <row r="160" spans="1:4" x14ac:dyDescent="0.25">
      <c r="A160" s="1">
        <v>20.402329999999999</v>
      </c>
      <c r="B160" s="1">
        <v>21.221219999999999</v>
      </c>
      <c r="C160" s="1" t="s">
        <v>316</v>
      </c>
      <c r="D160" s="1" t="s">
        <v>327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AD83-1F7A-47DE-A1B7-C70F3C249772}">
  <dimension ref="A1:F8"/>
  <sheetViews>
    <sheetView workbookViewId="0">
      <selection activeCell="B1" sqref="B1:F1"/>
    </sheetView>
  </sheetViews>
  <sheetFormatPr defaultRowHeight="14.4" x14ac:dyDescent="0.25"/>
  <cols>
    <col min="1" max="1" width="13.77734375" customWidth="1"/>
    <col min="2" max="2" width="11.6640625" customWidth="1"/>
    <col min="3" max="3" width="13.88671875" customWidth="1"/>
    <col min="4" max="4" width="13.33203125" customWidth="1"/>
    <col min="5" max="5" width="18.88671875" customWidth="1"/>
    <col min="6" max="6" width="20.44140625" customWidth="1"/>
  </cols>
  <sheetData>
    <row r="1" spans="1:6" ht="16.8" x14ac:dyDescent="0.25">
      <c r="B1" s="26" t="s">
        <v>508</v>
      </c>
      <c r="C1" s="26"/>
      <c r="D1" s="26"/>
      <c r="E1" s="26"/>
      <c r="F1" s="26"/>
    </row>
    <row r="2" spans="1:6" x14ac:dyDescent="0.25">
      <c r="A2" s="2"/>
      <c r="B2" s="1" t="s">
        <v>362</v>
      </c>
      <c r="C2" s="1" t="s">
        <v>361</v>
      </c>
      <c r="D2" s="1" t="s">
        <v>451</v>
      </c>
      <c r="E2" s="1" t="s">
        <v>452</v>
      </c>
      <c r="F2" s="1" t="s">
        <v>453</v>
      </c>
    </row>
    <row r="3" spans="1:6" x14ac:dyDescent="0.25">
      <c r="A3" s="1" t="s">
        <v>454</v>
      </c>
      <c r="B3" s="1">
        <v>1.7749999999999999</v>
      </c>
      <c r="C3" s="1">
        <v>3.1139999999999999</v>
      </c>
      <c r="D3" s="1">
        <v>1.5649999999999999</v>
      </c>
      <c r="E3" s="1">
        <v>3.093</v>
      </c>
      <c r="F3" s="1">
        <v>1.1559999999999999</v>
      </c>
    </row>
    <row r="4" spans="1:6" x14ac:dyDescent="0.25">
      <c r="A4" s="1" t="s">
        <v>455</v>
      </c>
      <c r="B4" s="1">
        <v>1.1040000000000001</v>
      </c>
      <c r="C4" s="1">
        <v>2.024</v>
      </c>
      <c r="D4" s="1">
        <v>0.69</v>
      </c>
      <c r="E4" s="1">
        <v>1.53</v>
      </c>
      <c r="F4" s="1">
        <v>0.57599999999999996</v>
      </c>
    </row>
    <row r="5" spans="1:6" x14ac:dyDescent="0.25">
      <c r="A5" s="1" t="s">
        <v>456</v>
      </c>
      <c r="B5" s="1">
        <v>1.0009999999999999</v>
      </c>
      <c r="C5" s="1">
        <v>1.7549999999999999</v>
      </c>
      <c r="D5" s="1">
        <v>0.53400000000000003</v>
      </c>
      <c r="E5" s="1">
        <v>1.196</v>
      </c>
      <c r="F5" s="1">
        <v>0.45</v>
      </c>
    </row>
    <row r="6" spans="1:6" x14ac:dyDescent="0.25">
      <c r="A6" s="1" t="s">
        <v>457</v>
      </c>
      <c r="B6" s="1">
        <v>0.81299999999999994</v>
      </c>
      <c r="C6" s="1">
        <v>1.61</v>
      </c>
      <c r="D6" s="1">
        <v>0.28499999999999998</v>
      </c>
      <c r="E6" s="1">
        <v>1.107</v>
      </c>
      <c r="F6" s="1">
        <v>0.41599999999999998</v>
      </c>
    </row>
    <row r="7" spans="1:6" x14ac:dyDescent="0.25">
      <c r="A7" s="1" t="s">
        <v>458</v>
      </c>
      <c r="B7" s="1">
        <v>0.65700000000000003</v>
      </c>
      <c r="C7" s="1">
        <v>1.298</v>
      </c>
      <c r="D7" s="1">
        <v>0.107</v>
      </c>
      <c r="E7" s="1">
        <v>0.48799999999999999</v>
      </c>
      <c r="F7" s="1">
        <v>0.189</v>
      </c>
    </row>
    <row r="8" spans="1:6" x14ac:dyDescent="0.25">
      <c r="A8" s="1" t="s">
        <v>459</v>
      </c>
      <c r="B8" s="1">
        <v>0.13400000000000001</v>
      </c>
      <c r="C8" s="1">
        <v>0.28999999999999998</v>
      </c>
      <c r="D8" s="1">
        <v>3.9700000000000002E-7</v>
      </c>
      <c r="E8" s="1">
        <v>6.7000000000000004E-7</v>
      </c>
      <c r="F8" s="1">
        <v>2.5100000000000001E-7</v>
      </c>
    </row>
  </sheetData>
  <mergeCells count="1">
    <mergeCell ref="B1:F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C4186-7BAA-40FB-A2B8-0341E7AB4092}">
  <dimension ref="A1:D160"/>
  <sheetViews>
    <sheetView workbookViewId="0">
      <selection activeCell="I20" sqref="I20"/>
    </sheetView>
  </sheetViews>
  <sheetFormatPr defaultRowHeight="14.4" x14ac:dyDescent="0.25"/>
  <cols>
    <col min="1" max="1" width="34.33203125" customWidth="1"/>
    <col min="2" max="2" width="35.33203125" customWidth="1"/>
    <col min="3" max="3" width="19.109375" customWidth="1"/>
    <col min="4" max="4" width="21.33203125" customWidth="1"/>
  </cols>
  <sheetData>
    <row r="1" spans="1:4" ht="16.8" x14ac:dyDescent="0.25">
      <c r="A1" s="25" t="s">
        <v>506</v>
      </c>
      <c r="B1" s="25" t="s">
        <v>509</v>
      </c>
      <c r="C1" s="25" t="s">
        <v>449</v>
      </c>
      <c r="D1" s="25" t="s">
        <v>351</v>
      </c>
    </row>
    <row r="2" spans="1:4" x14ac:dyDescent="0.25">
      <c r="A2" s="1">
        <v>8.0256000000000007</v>
      </c>
      <c r="B2" s="1">
        <v>5.3620799999999997</v>
      </c>
      <c r="C2" s="1" t="s">
        <v>159</v>
      </c>
      <c r="D2" s="1" t="s">
        <v>321</v>
      </c>
    </row>
    <row r="3" spans="1:4" x14ac:dyDescent="0.25">
      <c r="A3" s="1">
        <v>1.4327799999999999</v>
      </c>
      <c r="B3" s="1">
        <v>1.307E-2</v>
      </c>
      <c r="C3" s="1" t="s">
        <v>161</v>
      </c>
      <c r="D3" s="1" t="s">
        <v>324</v>
      </c>
    </row>
    <row r="4" spans="1:4" x14ac:dyDescent="0.25">
      <c r="A4" s="1">
        <v>5.9113699999999998</v>
      </c>
      <c r="B4" s="1">
        <v>9.2500599999999995</v>
      </c>
      <c r="C4" s="1" t="s">
        <v>200</v>
      </c>
      <c r="D4" s="1" t="s">
        <v>327</v>
      </c>
    </row>
    <row r="5" spans="1:4" x14ac:dyDescent="0.25">
      <c r="A5" s="1">
        <v>2.0483899999999999</v>
      </c>
      <c r="B5" s="1">
        <v>0.99670000000000003</v>
      </c>
      <c r="C5" s="1" t="s">
        <v>160</v>
      </c>
      <c r="D5" s="1" t="s">
        <v>327</v>
      </c>
    </row>
    <row r="6" spans="1:4" x14ac:dyDescent="0.25">
      <c r="A6" s="1">
        <v>0.52710999999999997</v>
      </c>
      <c r="B6" s="1">
        <v>0.60175000000000001</v>
      </c>
      <c r="C6" s="1" t="s">
        <v>165</v>
      </c>
      <c r="D6" s="1" t="s">
        <v>332</v>
      </c>
    </row>
    <row r="7" spans="1:4" x14ac:dyDescent="0.25">
      <c r="A7" s="1">
        <v>13.707280000000001</v>
      </c>
      <c r="B7" s="1">
        <v>12.68093</v>
      </c>
      <c r="C7" s="1" t="s">
        <v>163</v>
      </c>
      <c r="D7" s="1" t="s">
        <v>334</v>
      </c>
    </row>
    <row r="8" spans="1:4" x14ac:dyDescent="0.25">
      <c r="A8" s="1">
        <v>4.62439</v>
      </c>
      <c r="B8" s="1">
        <v>2.3046799999999998</v>
      </c>
      <c r="C8" s="1" t="s">
        <v>164</v>
      </c>
      <c r="D8" s="1" t="s">
        <v>321</v>
      </c>
    </row>
    <row r="9" spans="1:4" x14ac:dyDescent="0.25">
      <c r="A9" s="1">
        <v>1.69093</v>
      </c>
      <c r="B9" s="1">
        <v>1.29051</v>
      </c>
      <c r="C9" s="1" t="s">
        <v>166</v>
      </c>
      <c r="D9" s="1" t="s">
        <v>336</v>
      </c>
    </row>
    <row r="10" spans="1:4" x14ac:dyDescent="0.25">
      <c r="A10" s="1">
        <v>0.70599999999999996</v>
      </c>
      <c r="B10" s="1">
        <v>1.0083</v>
      </c>
      <c r="C10" s="1" t="s">
        <v>167</v>
      </c>
      <c r="D10" s="1" t="s">
        <v>324</v>
      </c>
    </row>
    <row r="11" spans="1:4" x14ac:dyDescent="0.25">
      <c r="A11" s="1">
        <v>5.4242800000000004</v>
      </c>
      <c r="B11" s="1">
        <v>4.9106800000000002</v>
      </c>
      <c r="C11" s="1" t="s">
        <v>168</v>
      </c>
      <c r="D11" s="1" t="s">
        <v>321</v>
      </c>
    </row>
    <row r="12" spans="1:4" x14ac:dyDescent="0.25">
      <c r="A12" s="1">
        <v>4.4922399999999998</v>
      </c>
      <c r="B12" s="1">
        <v>12.66404</v>
      </c>
      <c r="C12" s="1" t="s">
        <v>175</v>
      </c>
      <c r="D12" s="1" t="s">
        <v>321</v>
      </c>
    </row>
    <row r="13" spans="1:4" x14ac:dyDescent="0.25">
      <c r="A13" s="1">
        <v>4.83446</v>
      </c>
      <c r="B13" s="1">
        <v>8.4243699999999997</v>
      </c>
      <c r="C13" s="1" t="s">
        <v>173</v>
      </c>
      <c r="D13" s="1" t="s">
        <v>321</v>
      </c>
    </row>
    <row r="14" spans="1:4" x14ac:dyDescent="0.25">
      <c r="A14" s="1">
        <v>1.1380699999999999</v>
      </c>
      <c r="B14" s="1">
        <v>0.92932000000000003</v>
      </c>
      <c r="C14" s="1" t="s">
        <v>170</v>
      </c>
      <c r="D14" s="1" t="s">
        <v>324</v>
      </c>
    </row>
    <row r="15" spans="1:4" x14ac:dyDescent="0.25">
      <c r="A15" s="1">
        <v>19.931609999999999</v>
      </c>
      <c r="B15" s="1">
        <v>6.5297099999999997</v>
      </c>
      <c r="C15" s="1" t="s">
        <v>178</v>
      </c>
      <c r="D15" s="1" t="s">
        <v>332</v>
      </c>
    </row>
    <row r="16" spans="1:4" x14ac:dyDescent="0.25">
      <c r="A16" s="1">
        <v>4.2171200000000004</v>
      </c>
      <c r="B16" s="1">
        <v>3.6983100000000002</v>
      </c>
      <c r="C16" s="1" t="s">
        <v>171</v>
      </c>
      <c r="D16" s="1" t="s">
        <v>327</v>
      </c>
    </row>
    <row r="17" spans="1:4" x14ac:dyDescent="0.25">
      <c r="A17" s="1">
        <v>10.156140000000001</v>
      </c>
      <c r="B17" s="1">
        <v>4.5700000000000003E-3</v>
      </c>
      <c r="C17" s="1" t="s">
        <v>182</v>
      </c>
      <c r="D17" s="1" t="s">
        <v>321</v>
      </c>
    </row>
    <row r="18" spans="1:4" x14ac:dyDescent="0.25">
      <c r="A18" s="1">
        <v>14.22077</v>
      </c>
      <c r="B18" s="1">
        <v>4.5206799999999996</v>
      </c>
      <c r="C18" s="1" t="s">
        <v>179</v>
      </c>
      <c r="D18" s="1" t="s">
        <v>334</v>
      </c>
    </row>
    <row r="19" spans="1:4" x14ac:dyDescent="0.25">
      <c r="A19" s="1">
        <v>10.662240000000001</v>
      </c>
      <c r="B19" s="1">
        <v>15.40747</v>
      </c>
      <c r="C19" s="1" t="s">
        <v>176</v>
      </c>
      <c r="D19" s="1" t="s">
        <v>324</v>
      </c>
    </row>
    <row r="20" spans="1:4" x14ac:dyDescent="0.25">
      <c r="A20" s="1">
        <v>10.75348</v>
      </c>
      <c r="B20" s="1">
        <v>18.156469999999999</v>
      </c>
      <c r="C20" s="1" t="s">
        <v>183</v>
      </c>
      <c r="D20" s="1" t="s">
        <v>327</v>
      </c>
    </row>
    <row r="21" spans="1:4" x14ac:dyDescent="0.25">
      <c r="A21" s="1">
        <v>7.38734</v>
      </c>
      <c r="B21" s="1">
        <v>6.4530799999999999</v>
      </c>
      <c r="C21" s="1" t="s">
        <v>180</v>
      </c>
      <c r="D21" s="1" t="s">
        <v>334</v>
      </c>
    </row>
    <row r="22" spans="1:4" x14ac:dyDescent="0.25">
      <c r="A22" s="1">
        <v>20.881609999999998</v>
      </c>
      <c r="B22" s="1">
        <v>20.27609</v>
      </c>
      <c r="C22" s="1" t="s">
        <v>181</v>
      </c>
      <c r="D22" s="1" t="s">
        <v>321</v>
      </c>
    </row>
    <row r="23" spans="1:4" x14ac:dyDescent="0.25">
      <c r="A23" s="1">
        <v>1.1995</v>
      </c>
      <c r="B23" s="1">
        <v>0.83858999999999995</v>
      </c>
      <c r="C23" s="1" t="s">
        <v>174</v>
      </c>
      <c r="D23" s="1" t="s">
        <v>324</v>
      </c>
    </row>
    <row r="24" spans="1:4" x14ac:dyDescent="0.25">
      <c r="A24" s="1">
        <v>16.602309999999999</v>
      </c>
      <c r="B24" s="1">
        <v>6.0481499999999997</v>
      </c>
      <c r="C24" s="1" t="s">
        <v>172</v>
      </c>
      <c r="D24" s="1" t="s">
        <v>327</v>
      </c>
    </row>
    <row r="25" spans="1:4" x14ac:dyDescent="0.25">
      <c r="A25" s="1">
        <v>4.2659399999999996</v>
      </c>
      <c r="B25" s="1">
        <v>2.4399999999999999E-3</v>
      </c>
      <c r="C25" s="1" t="s">
        <v>169</v>
      </c>
      <c r="D25" s="1" t="s">
        <v>327</v>
      </c>
    </row>
    <row r="26" spans="1:4" x14ac:dyDescent="0.25">
      <c r="A26" s="1">
        <v>1.90892</v>
      </c>
      <c r="B26" s="1">
        <v>3.4383499999999998</v>
      </c>
      <c r="C26" s="1" t="s">
        <v>177</v>
      </c>
      <c r="D26" s="1" t="s">
        <v>324</v>
      </c>
    </row>
    <row r="27" spans="1:4" x14ac:dyDescent="0.25">
      <c r="A27" s="1">
        <v>7.9401099999999998</v>
      </c>
      <c r="B27" s="1">
        <v>1.7829999999999999E-2</v>
      </c>
      <c r="C27" s="1" t="s">
        <v>237</v>
      </c>
      <c r="D27" s="1" t="s">
        <v>321</v>
      </c>
    </row>
    <row r="28" spans="1:4" x14ac:dyDescent="0.25">
      <c r="A28" s="1">
        <v>21.254819999999999</v>
      </c>
      <c r="B28" s="1">
        <v>13.12355</v>
      </c>
      <c r="C28" s="1" t="s">
        <v>188</v>
      </c>
      <c r="D28" s="1" t="s">
        <v>327</v>
      </c>
    </row>
    <row r="29" spans="1:4" x14ac:dyDescent="0.25">
      <c r="A29" s="1">
        <v>2.4694500000000001</v>
      </c>
      <c r="B29" s="1">
        <v>2.9951500000000002</v>
      </c>
      <c r="C29" s="1" t="s">
        <v>184</v>
      </c>
      <c r="D29" s="1" t="s">
        <v>332</v>
      </c>
    </row>
    <row r="30" spans="1:4" x14ac:dyDescent="0.25">
      <c r="A30" s="1">
        <v>0.65844000000000003</v>
      </c>
      <c r="B30" s="1">
        <v>0.48719000000000001</v>
      </c>
      <c r="C30" s="1" t="s">
        <v>192</v>
      </c>
      <c r="D30" s="1" t="s">
        <v>327</v>
      </c>
    </row>
    <row r="31" spans="1:4" x14ac:dyDescent="0.25">
      <c r="A31" s="1">
        <v>20.295960000000001</v>
      </c>
      <c r="B31" s="1">
        <v>12.2065</v>
      </c>
      <c r="C31" s="1" t="s">
        <v>297</v>
      </c>
      <c r="D31" s="1" t="s">
        <v>327</v>
      </c>
    </row>
    <row r="32" spans="1:4" x14ac:dyDescent="0.25">
      <c r="A32" s="1">
        <v>11.415190000000001</v>
      </c>
      <c r="B32" s="1">
        <v>4.3721300000000003</v>
      </c>
      <c r="C32" s="1" t="s">
        <v>186</v>
      </c>
      <c r="D32" s="1" t="s">
        <v>334</v>
      </c>
    </row>
    <row r="33" spans="1:4" x14ac:dyDescent="0.25">
      <c r="A33" s="1">
        <v>5.33819</v>
      </c>
      <c r="B33" s="1">
        <v>5.6726400000000003</v>
      </c>
      <c r="C33" s="1" t="s">
        <v>187</v>
      </c>
      <c r="D33" s="1" t="s">
        <v>321</v>
      </c>
    </row>
    <row r="34" spans="1:4" x14ac:dyDescent="0.25">
      <c r="A34" s="1">
        <v>5.9046700000000003</v>
      </c>
      <c r="B34" s="1">
        <v>0.73214999999999997</v>
      </c>
      <c r="C34" s="1" t="s">
        <v>191</v>
      </c>
      <c r="D34" s="1" t="s">
        <v>334</v>
      </c>
    </row>
    <row r="35" spans="1:4" x14ac:dyDescent="0.25">
      <c r="A35" s="1">
        <v>3.4481700000000002</v>
      </c>
      <c r="B35" s="1">
        <v>6.2599999999999999E-3</v>
      </c>
      <c r="C35" s="1" t="s">
        <v>190</v>
      </c>
      <c r="D35" s="1" t="s">
        <v>327</v>
      </c>
    </row>
    <row r="36" spans="1:4" x14ac:dyDescent="0.25">
      <c r="A36" s="1">
        <v>7.1258900000000001</v>
      </c>
      <c r="B36" s="1">
        <v>1.58691</v>
      </c>
      <c r="C36" s="1" t="s">
        <v>193</v>
      </c>
      <c r="D36" s="1" t="s">
        <v>332</v>
      </c>
    </row>
    <row r="37" spans="1:4" x14ac:dyDescent="0.25">
      <c r="A37" s="1">
        <v>0.95130000000000003</v>
      </c>
      <c r="B37" s="1">
        <v>0.97089999999999999</v>
      </c>
      <c r="C37" s="1" t="s">
        <v>221</v>
      </c>
      <c r="D37" s="1" t="s">
        <v>324</v>
      </c>
    </row>
    <row r="38" spans="1:4" x14ac:dyDescent="0.25">
      <c r="A38" s="1">
        <v>2.2056200000000001</v>
      </c>
      <c r="B38" s="1">
        <v>3.1905199999999998</v>
      </c>
      <c r="C38" s="1" t="s">
        <v>194</v>
      </c>
      <c r="D38" s="1" t="s">
        <v>332</v>
      </c>
    </row>
    <row r="39" spans="1:4" x14ac:dyDescent="0.25">
      <c r="A39" s="1">
        <v>1.3885700000000001</v>
      </c>
      <c r="B39" s="1">
        <v>2.7182300000000001</v>
      </c>
      <c r="C39" s="1" t="s">
        <v>195</v>
      </c>
      <c r="D39" s="1" t="s">
        <v>321</v>
      </c>
    </row>
    <row r="40" spans="1:4" x14ac:dyDescent="0.25">
      <c r="A40" s="1">
        <v>0.47009000000000001</v>
      </c>
      <c r="B40" s="1">
        <v>0.31063000000000002</v>
      </c>
      <c r="C40" s="1" t="s">
        <v>196</v>
      </c>
      <c r="D40" s="1" t="s">
        <v>324</v>
      </c>
    </row>
    <row r="41" spans="1:4" x14ac:dyDescent="0.25">
      <c r="A41" s="1">
        <v>9.1655700000000007</v>
      </c>
      <c r="B41" s="1">
        <v>3.4320000000000003E-2</v>
      </c>
      <c r="C41" s="1" t="s">
        <v>189</v>
      </c>
      <c r="D41" s="1" t="s">
        <v>327</v>
      </c>
    </row>
    <row r="42" spans="1:4" x14ac:dyDescent="0.25">
      <c r="A42" s="1">
        <v>0.22370000000000001</v>
      </c>
      <c r="B42" s="1">
        <v>0.39854000000000001</v>
      </c>
      <c r="C42" s="1" t="s">
        <v>198</v>
      </c>
      <c r="D42" s="1" t="s">
        <v>324</v>
      </c>
    </row>
    <row r="43" spans="1:4" x14ac:dyDescent="0.25">
      <c r="A43" s="1">
        <v>9.4755299999999991</v>
      </c>
      <c r="B43" s="1">
        <v>5.23611</v>
      </c>
      <c r="C43" s="1" t="s">
        <v>199</v>
      </c>
      <c r="D43" s="1" t="s">
        <v>332</v>
      </c>
    </row>
    <row r="44" spans="1:4" x14ac:dyDescent="0.25">
      <c r="A44" s="1">
        <v>8.8892299999999995</v>
      </c>
      <c r="B44" s="1">
        <v>4.42319</v>
      </c>
      <c r="C44" s="1" t="s">
        <v>201</v>
      </c>
      <c r="D44" s="1" t="s">
        <v>334</v>
      </c>
    </row>
    <row r="45" spans="1:4" x14ac:dyDescent="0.25">
      <c r="A45" s="1">
        <v>18.265419999999999</v>
      </c>
      <c r="B45" s="1">
        <v>7.4352499999999999</v>
      </c>
      <c r="C45" s="1" t="s">
        <v>202</v>
      </c>
      <c r="D45" s="1" t="s">
        <v>327</v>
      </c>
    </row>
    <row r="46" spans="1:4" x14ac:dyDescent="0.25">
      <c r="A46" s="1">
        <v>20.06269</v>
      </c>
      <c r="B46" s="1">
        <v>2.2038000000000002</v>
      </c>
      <c r="C46" s="1" t="s">
        <v>288</v>
      </c>
      <c r="D46" s="1" t="s">
        <v>332</v>
      </c>
    </row>
    <row r="47" spans="1:4" x14ac:dyDescent="0.25">
      <c r="A47" s="1">
        <v>10.796559999999999</v>
      </c>
      <c r="B47" s="1">
        <v>5.98055</v>
      </c>
      <c r="C47" s="1" t="s">
        <v>203</v>
      </c>
      <c r="D47" s="1" t="s">
        <v>327</v>
      </c>
    </row>
    <row r="48" spans="1:4" x14ac:dyDescent="0.25">
      <c r="A48" s="1">
        <v>0.67896999999999996</v>
      </c>
      <c r="B48" s="1">
        <v>1.27905</v>
      </c>
      <c r="C48" s="1" t="s">
        <v>450</v>
      </c>
      <c r="D48" s="1" t="s">
        <v>324</v>
      </c>
    </row>
    <row r="49" spans="1:4" x14ac:dyDescent="0.25">
      <c r="A49" s="1">
        <v>21.448779999999999</v>
      </c>
      <c r="B49" s="1">
        <v>2.5918299999999999</v>
      </c>
      <c r="C49" s="1" t="s">
        <v>205</v>
      </c>
      <c r="D49" s="1" t="s">
        <v>327</v>
      </c>
    </row>
    <row r="50" spans="1:4" x14ac:dyDescent="0.25">
      <c r="A50" s="1">
        <v>4.5775499999999996</v>
      </c>
      <c r="B50" s="1">
        <v>0.94333</v>
      </c>
      <c r="C50" s="1" t="s">
        <v>207</v>
      </c>
      <c r="D50" s="1" t="s">
        <v>336</v>
      </c>
    </row>
    <row r="51" spans="1:4" x14ac:dyDescent="0.25">
      <c r="A51" s="1">
        <v>0.33334999999999998</v>
      </c>
      <c r="B51" s="1">
        <v>0.42635000000000001</v>
      </c>
      <c r="C51" s="1" t="s">
        <v>206</v>
      </c>
      <c r="D51" s="1" t="s">
        <v>324</v>
      </c>
    </row>
    <row r="52" spans="1:4" x14ac:dyDescent="0.25">
      <c r="A52" s="1">
        <v>1.35578</v>
      </c>
      <c r="B52" s="1">
        <v>0.82896000000000003</v>
      </c>
      <c r="C52" s="1" t="s">
        <v>208</v>
      </c>
      <c r="D52" s="1" t="s">
        <v>324</v>
      </c>
    </row>
    <row r="53" spans="1:4" x14ac:dyDescent="0.25">
      <c r="A53" s="1">
        <v>8.7056100000000001</v>
      </c>
      <c r="B53" s="1">
        <v>6.2294099999999997</v>
      </c>
      <c r="C53" s="1" t="s">
        <v>209</v>
      </c>
      <c r="D53" s="1" t="s">
        <v>327</v>
      </c>
    </row>
    <row r="54" spans="1:4" x14ac:dyDescent="0.25">
      <c r="A54" s="1">
        <v>13.193910000000001</v>
      </c>
      <c r="B54" s="1">
        <v>9.0160000000000004E-2</v>
      </c>
      <c r="C54" s="1" t="s">
        <v>214</v>
      </c>
      <c r="D54" s="1" t="s">
        <v>327</v>
      </c>
    </row>
    <row r="55" spans="1:4" x14ac:dyDescent="0.25">
      <c r="A55" s="1">
        <v>2.12303</v>
      </c>
      <c r="B55" s="1">
        <v>8.5349999999999995E-2</v>
      </c>
      <c r="C55" s="1" t="s">
        <v>211</v>
      </c>
      <c r="D55" s="1" t="s">
        <v>321</v>
      </c>
    </row>
    <row r="56" spans="1:4" x14ac:dyDescent="0.25">
      <c r="A56" s="1">
        <v>0.17455000000000001</v>
      </c>
      <c r="B56" s="1">
        <v>0.26978000000000002</v>
      </c>
      <c r="C56" s="1" t="s">
        <v>197</v>
      </c>
      <c r="D56" s="1" t="s">
        <v>324</v>
      </c>
    </row>
    <row r="57" spans="1:4" x14ac:dyDescent="0.25">
      <c r="A57" s="1">
        <v>11.36022</v>
      </c>
      <c r="B57" s="1">
        <v>4.4685100000000002</v>
      </c>
      <c r="C57" s="1" t="s">
        <v>212</v>
      </c>
      <c r="D57" s="1" t="s">
        <v>327</v>
      </c>
    </row>
    <row r="58" spans="1:4" x14ac:dyDescent="0.25">
      <c r="A58" s="1">
        <v>4.1294300000000002</v>
      </c>
      <c r="B58" s="1">
        <v>11.186310000000001</v>
      </c>
      <c r="C58" s="1" t="s">
        <v>216</v>
      </c>
      <c r="D58" s="1" t="s">
        <v>324</v>
      </c>
    </row>
    <row r="59" spans="1:4" x14ac:dyDescent="0.25">
      <c r="A59" s="1">
        <v>2.1215799999999998</v>
      </c>
      <c r="B59" s="1">
        <v>2.1631999999999998</v>
      </c>
      <c r="C59" s="1" t="s">
        <v>217</v>
      </c>
      <c r="D59" s="1" t="s">
        <v>332</v>
      </c>
    </row>
    <row r="60" spans="1:4" x14ac:dyDescent="0.25">
      <c r="A60" s="1">
        <v>13.227220000000001</v>
      </c>
      <c r="B60" s="1">
        <v>8.4980700000000002</v>
      </c>
      <c r="C60" s="1" t="s">
        <v>218</v>
      </c>
      <c r="D60" s="1" t="s">
        <v>332</v>
      </c>
    </row>
    <row r="61" spans="1:4" x14ac:dyDescent="0.25">
      <c r="A61" s="1">
        <v>3.0809099999999998</v>
      </c>
      <c r="B61" s="1">
        <v>0.10778</v>
      </c>
      <c r="C61" s="1" t="s">
        <v>213</v>
      </c>
      <c r="D61" s="1" t="s">
        <v>327</v>
      </c>
    </row>
    <row r="62" spans="1:4" x14ac:dyDescent="0.25">
      <c r="A62" s="1">
        <v>10.26346</v>
      </c>
      <c r="B62" s="1">
        <v>2.0822699999999998</v>
      </c>
      <c r="C62" s="1" t="s">
        <v>215</v>
      </c>
      <c r="D62" s="1" t="s">
        <v>327</v>
      </c>
    </row>
    <row r="63" spans="1:4" x14ac:dyDescent="0.25">
      <c r="A63" s="1">
        <v>6.2104699999999999</v>
      </c>
      <c r="B63" s="1">
        <v>3.6639999999999999E-2</v>
      </c>
      <c r="C63" s="1" t="s">
        <v>219</v>
      </c>
      <c r="D63" s="1" t="s">
        <v>334</v>
      </c>
    </row>
    <row r="64" spans="1:4" x14ac:dyDescent="0.25">
      <c r="A64" s="1">
        <v>10.56578</v>
      </c>
      <c r="B64" s="1">
        <v>4.1751699999999996</v>
      </c>
      <c r="C64" s="1" t="s">
        <v>222</v>
      </c>
      <c r="D64" s="1" t="s">
        <v>332</v>
      </c>
    </row>
    <row r="65" spans="1:4" x14ac:dyDescent="0.25">
      <c r="A65" s="1">
        <v>13.62313</v>
      </c>
      <c r="B65" s="1">
        <v>1.72098</v>
      </c>
      <c r="C65" s="1" t="s">
        <v>220</v>
      </c>
      <c r="D65" s="1" t="s">
        <v>332</v>
      </c>
    </row>
    <row r="66" spans="1:4" x14ac:dyDescent="0.25">
      <c r="A66" s="1">
        <v>0.25583</v>
      </c>
      <c r="B66" s="1">
        <v>0.29582000000000003</v>
      </c>
      <c r="C66" s="1" t="s">
        <v>223</v>
      </c>
      <c r="D66" s="1" t="s">
        <v>324</v>
      </c>
    </row>
    <row r="67" spans="1:4" x14ac:dyDescent="0.25">
      <c r="A67" s="1">
        <v>9.8626500000000004</v>
      </c>
      <c r="B67" s="1">
        <v>11.39156</v>
      </c>
      <c r="C67" s="1" t="s">
        <v>225</v>
      </c>
      <c r="D67" s="1" t="s">
        <v>321</v>
      </c>
    </row>
    <row r="68" spans="1:4" x14ac:dyDescent="0.25">
      <c r="A68" s="1">
        <v>10.89446</v>
      </c>
      <c r="B68" s="1">
        <v>0.18561</v>
      </c>
      <c r="C68" s="1" t="s">
        <v>224</v>
      </c>
      <c r="D68" s="1" t="s">
        <v>321</v>
      </c>
    </row>
    <row r="69" spans="1:4" x14ac:dyDescent="0.25">
      <c r="A69" s="1">
        <v>9.7432200000000009</v>
      </c>
      <c r="B69" s="1">
        <v>14.98847</v>
      </c>
      <c r="C69" s="1" t="s">
        <v>227</v>
      </c>
      <c r="D69" s="1" t="s">
        <v>321</v>
      </c>
    </row>
    <row r="70" spans="1:4" x14ac:dyDescent="0.25">
      <c r="A70" s="1">
        <v>17.035039999999999</v>
      </c>
      <c r="B70" s="1">
        <v>2.77704</v>
      </c>
      <c r="C70" s="1" t="s">
        <v>228</v>
      </c>
      <c r="D70" s="1" t="s">
        <v>321</v>
      </c>
    </row>
    <row r="71" spans="1:4" x14ac:dyDescent="0.25">
      <c r="A71" s="1">
        <v>2.0181499999999999</v>
      </c>
      <c r="B71" s="1">
        <v>1.9223300000000001</v>
      </c>
      <c r="C71" s="1" t="s">
        <v>226</v>
      </c>
      <c r="D71" s="1" t="s">
        <v>324</v>
      </c>
    </row>
    <row r="72" spans="1:4" x14ac:dyDescent="0.25">
      <c r="A72" s="1">
        <v>5.20526</v>
      </c>
      <c r="B72" s="1">
        <v>9.9926399999999997</v>
      </c>
      <c r="C72" s="1" t="s">
        <v>229</v>
      </c>
      <c r="D72" s="1" t="s">
        <v>321</v>
      </c>
    </row>
    <row r="73" spans="1:4" x14ac:dyDescent="0.25">
      <c r="A73" s="1">
        <v>3.1243500000000002</v>
      </c>
      <c r="B73" s="1">
        <v>2.3966799999999999</v>
      </c>
      <c r="C73" s="1" t="s">
        <v>230</v>
      </c>
      <c r="D73" s="1" t="s">
        <v>324</v>
      </c>
    </row>
    <row r="74" spans="1:4" x14ac:dyDescent="0.25">
      <c r="A74" s="1">
        <v>7.8036899999999996</v>
      </c>
      <c r="B74" s="1">
        <v>12.759209999999999</v>
      </c>
      <c r="C74" s="1" t="s">
        <v>231</v>
      </c>
      <c r="D74" s="1" t="s">
        <v>332</v>
      </c>
    </row>
    <row r="75" spans="1:4" x14ac:dyDescent="0.25">
      <c r="A75" s="1">
        <v>16.261060000000001</v>
      </c>
      <c r="B75" s="1">
        <v>5.8123399999999998</v>
      </c>
      <c r="C75" s="1" t="s">
        <v>233</v>
      </c>
      <c r="D75" s="1" t="s">
        <v>321</v>
      </c>
    </row>
    <row r="76" spans="1:4" x14ac:dyDescent="0.25">
      <c r="A76" s="1">
        <v>9.3153699999999997</v>
      </c>
      <c r="B76" s="1">
        <v>13.59929</v>
      </c>
      <c r="C76" s="1" t="s">
        <v>232</v>
      </c>
      <c r="D76" s="1" t="s">
        <v>321</v>
      </c>
    </row>
    <row r="77" spans="1:4" x14ac:dyDescent="0.25">
      <c r="A77" s="1">
        <v>5.34999</v>
      </c>
      <c r="B77" s="1">
        <v>6.8126600000000002</v>
      </c>
      <c r="C77" s="1" t="s">
        <v>234</v>
      </c>
      <c r="D77" s="1" t="s">
        <v>321</v>
      </c>
    </row>
    <row r="78" spans="1:4" x14ac:dyDescent="0.25">
      <c r="A78" s="1">
        <v>20.095490000000002</v>
      </c>
      <c r="B78" s="1">
        <v>16.240089999999999</v>
      </c>
      <c r="C78" s="1" t="s">
        <v>235</v>
      </c>
      <c r="D78" s="1" t="s">
        <v>327</v>
      </c>
    </row>
    <row r="79" spans="1:4" x14ac:dyDescent="0.25">
      <c r="A79" s="1">
        <v>21.011600000000001</v>
      </c>
      <c r="B79" s="1">
        <v>23.010249999999999</v>
      </c>
      <c r="C79" s="1" t="s">
        <v>239</v>
      </c>
      <c r="D79" s="1" t="s">
        <v>321</v>
      </c>
    </row>
    <row r="80" spans="1:4" x14ac:dyDescent="0.25">
      <c r="A80" s="1">
        <v>8.4880399999999998</v>
      </c>
      <c r="B80" s="1">
        <v>0.17682</v>
      </c>
      <c r="C80" s="1" t="s">
        <v>236</v>
      </c>
      <c r="D80" s="1" t="s">
        <v>321</v>
      </c>
    </row>
    <row r="81" spans="1:4" x14ac:dyDescent="0.25">
      <c r="A81" s="1">
        <v>9.6806699999999992</v>
      </c>
      <c r="B81" s="1">
        <v>3.3840000000000002E-2</v>
      </c>
      <c r="C81" s="1" t="s">
        <v>240</v>
      </c>
      <c r="D81" s="1" t="s">
        <v>321</v>
      </c>
    </row>
    <row r="82" spans="1:4" x14ac:dyDescent="0.25">
      <c r="A82" s="1">
        <v>8.6313300000000002</v>
      </c>
      <c r="B82" s="1">
        <v>14.01179</v>
      </c>
      <c r="C82" s="1" t="s">
        <v>241</v>
      </c>
      <c r="D82" s="1" t="s">
        <v>321</v>
      </c>
    </row>
    <row r="83" spans="1:4" x14ac:dyDescent="0.25">
      <c r="A83" s="1">
        <v>13.871650000000001</v>
      </c>
      <c r="B83" s="1">
        <v>8.2888800000000007</v>
      </c>
      <c r="C83" s="1" t="s">
        <v>245</v>
      </c>
      <c r="D83" s="1" t="s">
        <v>327</v>
      </c>
    </row>
    <row r="84" spans="1:4" x14ac:dyDescent="0.25">
      <c r="A84" s="1">
        <v>5.8845799999999997</v>
      </c>
      <c r="B84" s="1">
        <v>3.5799999999999998E-2</v>
      </c>
      <c r="C84" s="1" t="s">
        <v>242</v>
      </c>
      <c r="D84" s="1" t="s">
        <v>327</v>
      </c>
    </row>
    <row r="85" spans="1:4" x14ac:dyDescent="0.25">
      <c r="A85" s="1">
        <v>5.1362699999999997</v>
      </c>
      <c r="B85" s="1">
        <v>15.4588</v>
      </c>
      <c r="C85" s="1" t="s">
        <v>243</v>
      </c>
      <c r="D85" s="1" t="s">
        <v>327</v>
      </c>
    </row>
    <row r="86" spans="1:4" x14ac:dyDescent="0.25">
      <c r="A86" s="1">
        <v>0.86104999999999998</v>
      </c>
      <c r="B86" s="1">
        <v>1.3532</v>
      </c>
      <c r="C86" s="1" t="s">
        <v>246</v>
      </c>
      <c r="D86" s="1" t="s">
        <v>324</v>
      </c>
    </row>
    <row r="87" spans="1:4" x14ac:dyDescent="0.25">
      <c r="A87" s="1">
        <v>1.7413700000000001</v>
      </c>
      <c r="B87" s="1">
        <v>0.50370000000000004</v>
      </c>
      <c r="C87" s="1" t="s">
        <v>250</v>
      </c>
      <c r="D87" s="1" t="s">
        <v>324</v>
      </c>
    </row>
    <row r="88" spans="1:4" x14ac:dyDescent="0.25">
      <c r="A88" s="1">
        <v>16.167020000000001</v>
      </c>
      <c r="B88" s="1">
        <v>5.0430000000000003E-2</v>
      </c>
      <c r="C88" s="1" t="s">
        <v>248</v>
      </c>
      <c r="D88" s="1" t="s">
        <v>327</v>
      </c>
    </row>
    <row r="89" spans="1:4" x14ac:dyDescent="0.25">
      <c r="A89" s="1">
        <v>16.918189999999999</v>
      </c>
      <c r="B89" s="1">
        <v>17.572230000000001</v>
      </c>
      <c r="C89" s="1" t="s">
        <v>259</v>
      </c>
      <c r="D89" s="1" t="s">
        <v>327</v>
      </c>
    </row>
    <row r="90" spans="1:4" x14ac:dyDescent="0.25">
      <c r="A90" s="1">
        <v>4.9903500000000003</v>
      </c>
      <c r="B90" s="1">
        <v>0.43046000000000001</v>
      </c>
      <c r="C90" s="1" t="s">
        <v>260</v>
      </c>
      <c r="D90" s="1" t="s">
        <v>321</v>
      </c>
    </row>
    <row r="91" spans="1:4" x14ac:dyDescent="0.25">
      <c r="A91" s="1">
        <v>20.095030000000001</v>
      </c>
      <c r="B91" s="1">
        <v>0.18343000000000001</v>
      </c>
      <c r="C91" s="1" t="s">
        <v>251</v>
      </c>
      <c r="D91" s="1" t="s">
        <v>327</v>
      </c>
    </row>
    <row r="92" spans="1:4" x14ac:dyDescent="0.25">
      <c r="A92" s="1">
        <v>0.32799</v>
      </c>
      <c r="B92" s="1">
        <v>1.1130100000000001</v>
      </c>
      <c r="C92" s="1" t="s">
        <v>252</v>
      </c>
      <c r="D92" s="1" t="s">
        <v>324</v>
      </c>
    </row>
    <row r="93" spans="1:4" x14ac:dyDescent="0.25">
      <c r="A93" s="1">
        <v>20.377289999999999</v>
      </c>
      <c r="B93" s="1">
        <v>19.740539999999999</v>
      </c>
      <c r="C93" s="1" t="s">
        <v>257</v>
      </c>
      <c r="D93" s="1" t="s">
        <v>327</v>
      </c>
    </row>
    <row r="94" spans="1:4" x14ac:dyDescent="0.25">
      <c r="A94" s="1">
        <v>2.3140299999999998</v>
      </c>
      <c r="B94" s="1">
        <v>3.2696700000000001</v>
      </c>
      <c r="C94" s="1" t="s">
        <v>258</v>
      </c>
      <c r="D94" s="1" t="s">
        <v>327</v>
      </c>
    </row>
    <row r="95" spans="1:4" x14ac:dyDescent="0.25">
      <c r="A95" s="1">
        <v>7.9741400000000002</v>
      </c>
      <c r="B95" s="1">
        <v>7.6439899999999996</v>
      </c>
      <c r="C95" s="1" t="s">
        <v>249</v>
      </c>
      <c r="D95" s="1" t="s">
        <v>332</v>
      </c>
    </row>
    <row r="96" spans="1:4" x14ac:dyDescent="0.25">
      <c r="A96" s="1">
        <v>1.72306</v>
      </c>
      <c r="B96" s="1">
        <v>3.01</v>
      </c>
      <c r="C96" s="1" t="s">
        <v>255</v>
      </c>
      <c r="D96" s="1" t="s">
        <v>321</v>
      </c>
    </row>
    <row r="97" spans="1:4" x14ac:dyDescent="0.25">
      <c r="A97" s="1">
        <v>3.8504200000000002</v>
      </c>
      <c r="B97" s="1">
        <v>7.61334</v>
      </c>
      <c r="C97" s="1" t="s">
        <v>254</v>
      </c>
      <c r="D97" s="1" t="s">
        <v>324</v>
      </c>
    </row>
    <row r="98" spans="1:4" x14ac:dyDescent="0.25">
      <c r="A98" s="1">
        <v>6.2953900000000003</v>
      </c>
      <c r="B98" s="1">
        <v>8.5084900000000001</v>
      </c>
      <c r="C98" s="1" t="s">
        <v>247</v>
      </c>
      <c r="D98" s="1" t="s">
        <v>327</v>
      </c>
    </row>
    <row r="99" spans="1:4" x14ac:dyDescent="0.25">
      <c r="A99" s="1">
        <v>10.65151</v>
      </c>
      <c r="B99" s="1">
        <v>7.3108599999999999</v>
      </c>
      <c r="C99" s="1" t="s">
        <v>256</v>
      </c>
      <c r="D99" s="1" t="s">
        <v>327</v>
      </c>
    </row>
    <row r="100" spans="1:4" x14ac:dyDescent="0.25">
      <c r="A100" s="1">
        <v>13.87261</v>
      </c>
      <c r="B100" s="1">
        <v>1.1127199999999999</v>
      </c>
      <c r="C100" s="1" t="s">
        <v>253</v>
      </c>
      <c r="D100" s="1" t="s">
        <v>321</v>
      </c>
    </row>
    <row r="101" spans="1:4" x14ac:dyDescent="0.25">
      <c r="A101" s="1">
        <v>17.383279999999999</v>
      </c>
      <c r="B101" s="1">
        <v>22.223780000000001</v>
      </c>
      <c r="C101" s="1" t="s">
        <v>261</v>
      </c>
      <c r="D101" s="1" t="s">
        <v>327</v>
      </c>
    </row>
    <row r="102" spans="1:4" x14ac:dyDescent="0.25">
      <c r="A102" s="1">
        <v>8.5955399999999997</v>
      </c>
      <c r="B102" s="1">
        <v>1.4634100000000001</v>
      </c>
      <c r="C102" s="1" t="s">
        <v>267</v>
      </c>
      <c r="D102" s="1" t="s">
        <v>321</v>
      </c>
    </row>
    <row r="103" spans="1:4" x14ac:dyDescent="0.25">
      <c r="A103" s="1">
        <v>0.14337</v>
      </c>
      <c r="B103" s="1">
        <v>0.10552</v>
      </c>
      <c r="C103" s="1" t="s">
        <v>265</v>
      </c>
      <c r="D103" s="1" t="s">
        <v>324</v>
      </c>
    </row>
    <row r="104" spans="1:4" x14ac:dyDescent="0.25">
      <c r="A104" s="1">
        <v>4.3679399999999999</v>
      </c>
      <c r="B104" s="1">
        <v>8.1819900000000008</v>
      </c>
      <c r="C104" s="1" t="s">
        <v>268</v>
      </c>
      <c r="D104" s="1" t="s">
        <v>336</v>
      </c>
    </row>
    <row r="105" spans="1:4" x14ac:dyDescent="0.25">
      <c r="A105" s="1">
        <v>10.78012</v>
      </c>
      <c r="B105" s="1">
        <v>13.29264</v>
      </c>
      <c r="C105" s="1" t="s">
        <v>264</v>
      </c>
      <c r="D105" s="1" t="s">
        <v>332</v>
      </c>
    </row>
    <row r="106" spans="1:4" x14ac:dyDescent="0.25">
      <c r="A106" s="1">
        <v>13.33558</v>
      </c>
      <c r="B106" s="1">
        <v>0.59040000000000004</v>
      </c>
      <c r="C106" s="1" t="s">
        <v>262</v>
      </c>
      <c r="D106" s="1" t="s">
        <v>327</v>
      </c>
    </row>
    <row r="107" spans="1:4" x14ac:dyDescent="0.25">
      <c r="A107" s="1">
        <v>20.136050000000001</v>
      </c>
      <c r="B107" s="1">
        <v>7.61693</v>
      </c>
      <c r="C107" s="1" t="s">
        <v>263</v>
      </c>
      <c r="D107" s="1" t="s">
        <v>327</v>
      </c>
    </row>
    <row r="108" spans="1:4" x14ac:dyDescent="0.25">
      <c r="A108" s="1">
        <v>2.7065700000000001</v>
      </c>
      <c r="B108" s="1">
        <v>0.85653999999999997</v>
      </c>
      <c r="C108" s="1" t="s">
        <v>277</v>
      </c>
      <c r="D108" s="1" t="s">
        <v>321</v>
      </c>
    </row>
    <row r="109" spans="1:4" x14ac:dyDescent="0.25">
      <c r="A109" s="1">
        <v>0.79120999999999997</v>
      </c>
      <c r="B109" s="1">
        <v>3.3399999999999999E-2</v>
      </c>
      <c r="C109" s="1" t="s">
        <v>266</v>
      </c>
      <c r="D109" s="1" t="s">
        <v>324</v>
      </c>
    </row>
    <row r="110" spans="1:4" x14ac:dyDescent="0.25">
      <c r="A110" s="1">
        <v>20.21772</v>
      </c>
      <c r="B110" s="1">
        <v>24.281849999999999</v>
      </c>
      <c r="C110" s="1" t="s">
        <v>269</v>
      </c>
      <c r="D110" s="1" t="s">
        <v>321</v>
      </c>
    </row>
    <row r="111" spans="1:4" x14ac:dyDescent="0.25">
      <c r="A111" s="1">
        <v>9.9720700000000004</v>
      </c>
      <c r="B111" s="1">
        <v>7.4212800000000003</v>
      </c>
      <c r="C111" s="1" t="s">
        <v>270</v>
      </c>
      <c r="D111" s="1" t="s">
        <v>321</v>
      </c>
    </row>
    <row r="112" spans="1:4" x14ac:dyDescent="0.25">
      <c r="A112" s="1">
        <v>5.9902300000000004</v>
      </c>
      <c r="B112" s="1">
        <v>2.0486599999999999</v>
      </c>
      <c r="C112" s="1" t="s">
        <v>271</v>
      </c>
      <c r="D112" s="1" t="s">
        <v>332</v>
      </c>
    </row>
    <row r="113" spans="1:4" x14ac:dyDescent="0.25">
      <c r="A113" s="1">
        <v>11.375249999999999</v>
      </c>
      <c r="B113" s="1">
        <v>4.5891000000000002</v>
      </c>
      <c r="C113" s="1" t="s">
        <v>274</v>
      </c>
      <c r="D113" s="1" t="s">
        <v>336</v>
      </c>
    </row>
    <row r="114" spans="1:4" x14ac:dyDescent="0.25">
      <c r="A114" s="1">
        <v>15.917809999999999</v>
      </c>
      <c r="B114" s="1">
        <v>2.7047099999999999</v>
      </c>
      <c r="C114" s="1" t="s">
        <v>279</v>
      </c>
      <c r="D114" s="1" t="s">
        <v>334</v>
      </c>
    </row>
    <row r="115" spans="1:4" x14ac:dyDescent="0.25">
      <c r="A115" s="1">
        <v>5.9376699999999998</v>
      </c>
      <c r="B115" s="1">
        <v>6.90402</v>
      </c>
      <c r="C115" s="1" t="s">
        <v>272</v>
      </c>
      <c r="D115" s="1" t="s">
        <v>334</v>
      </c>
    </row>
    <row r="116" spans="1:4" x14ac:dyDescent="0.25">
      <c r="A116" s="1">
        <v>20.300750000000001</v>
      </c>
      <c r="B116" s="1">
        <v>6.5260600000000002</v>
      </c>
      <c r="C116" s="1" t="s">
        <v>273</v>
      </c>
      <c r="D116" s="1" t="s">
        <v>321</v>
      </c>
    </row>
    <row r="117" spans="1:4" x14ac:dyDescent="0.25">
      <c r="A117" s="1">
        <v>0.68823000000000001</v>
      </c>
      <c r="B117" s="1">
        <v>0.16916</v>
      </c>
      <c r="C117" s="1" t="s">
        <v>275</v>
      </c>
      <c r="D117" s="1" t="s">
        <v>324</v>
      </c>
    </row>
    <row r="118" spans="1:4" x14ac:dyDescent="0.25">
      <c r="A118" s="1">
        <v>5.8905799999999999</v>
      </c>
      <c r="B118" s="1">
        <v>5.3166200000000003</v>
      </c>
      <c r="C118" s="1" t="s">
        <v>278</v>
      </c>
      <c r="D118" s="1" t="s">
        <v>324</v>
      </c>
    </row>
    <row r="119" spans="1:4" x14ac:dyDescent="0.25">
      <c r="A119" s="1">
        <v>1.51007</v>
      </c>
      <c r="B119" s="1">
        <v>2.1910099999999999</v>
      </c>
      <c r="C119" s="1" t="s">
        <v>276</v>
      </c>
      <c r="D119" s="1" t="s">
        <v>332</v>
      </c>
    </row>
    <row r="120" spans="1:4" x14ac:dyDescent="0.25">
      <c r="A120" s="1">
        <v>8.1532900000000001</v>
      </c>
      <c r="B120" s="1">
        <v>11.87363</v>
      </c>
      <c r="C120" s="1" t="s">
        <v>280</v>
      </c>
      <c r="D120" s="1" t="s">
        <v>321</v>
      </c>
    </row>
    <row r="121" spans="1:4" x14ac:dyDescent="0.25">
      <c r="A121" s="1">
        <v>0.32612999999999998</v>
      </c>
      <c r="B121" s="1">
        <v>0.29679</v>
      </c>
      <c r="C121" s="1" t="s">
        <v>281</v>
      </c>
      <c r="D121" s="1" t="s">
        <v>324</v>
      </c>
    </row>
    <row r="122" spans="1:4" x14ac:dyDescent="0.25">
      <c r="A122" s="1">
        <v>5.3838100000000004</v>
      </c>
      <c r="B122" s="1">
        <v>6.40829</v>
      </c>
      <c r="C122" s="1" t="s">
        <v>282</v>
      </c>
      <c r="D122" s="1" t="s">
        <v>324</v>
      </c>
    </row>
    <row r="123" spans="1:4" x14ac:dyDescent="0.25">
      <c r="A123" s="1">
        <v>13.54893</v>
      </c>
      <c r="B123" s="1">
        <v>0.26153999999999999</v>
      </c>
      <c r="C123" s="1" t="s">
        <v>283</v>
      </c>
      <c r="D123" s="1" t="s">
        <v>327</v>
      </c>
    </row>
    <row r="124" spans="1:4" x14ac:dyDescent="0.25">
      <c r="A124" s="1">
        <v>14.77289</v>
      </c>
      <c r="B124" s="1">
        <v>21.661639999999998</v>
      </c>
      <c r="C124" s="1" t="s">
        <v>284</v>
      </c>
      <c r="D124" s="1" t="s">
        <v>321</v>
      </c>
    </row>
    <row r="125" spans="1:4" x14ac:dyDescent="0.25">
      <c r="A125" s="1">
        <v>17.854209999999998</v>
      </c>
      <c r="B125" s="1">
        <v>2.4094000000000002</v>
      </c>
      <c r="C125" s="1" t="s">
        <v>286</v>
      </c>
      <c r="D125" s="1" t="s">
        <v>327</v>
      </c>
    </row>
    <row r="126" spans="1:4" x14ac:dyDescent="0.25">
      <c r="A126" s="1">
        <v>0.78395000000000004</v>
      </c>
      <c r="B126" s="1">
        <v>0.51768000000000003</v>
      </c>
      <c r="C126" s="1" t="s">
        <v>290</v>
      </c>
      <c r="D126" s="1" t="s">
        <v>324</v>
      </c>
    </row>
    <row r="127" spans="1:4" x14ac:dyDescent="0.25">
      <c r="A127" s="1">
        <v>0.11285000000000001</v>
      </c>
      <c r="B127" s="1">
        <v>8.9289999999999994E-2</v>
      </c>
      <c r="C127" s="1" t="s">
        <v>295</v>
      </c>
      <c r="D127" s="1" t="s">
        <v>327</v>
      </c>
    </row>
    <row r="128" spans="1:4" x14ac:dyDescent="0.25">
      <c r="A128" s="1">
        <v>1.5972200000000001</v>
      </c>
      <c r="B128" s="1">
        <v>1.42E-3</v>
      </c>
      <c r="C128" s="1" t="s">
        <v>287</v>
      </c>
      <c r="D128" s="1" t="s">
        <v>327</v>
      </c>
    </row>
    <row r="129" spans="1:4" x14ac:dyDescent="0.25">
      <c r="A129" s="1">
        <v>0.12756000000000001</v>
      </c>
      <c r="B129" s="1">
        <v>0.15196000000000001</v>
      </c>
      <c r="C129" s="1" t="s">
        <v>292</v>
      </c>
      <c r="D129" s="1" t="s">
        <v>324</v>
      </c>
    </row>
    <row r="130" spans="1:4" x14ac:dyDescent="0.25">
      <c r="A130" s="1">
        <v>0.56457000000000002</v>
      </c>
      <c r="B130" s="1">
        <v>1.7543899999999999</v>
      </c>
      <c r="C130" s="1" t="s">
        <v>293</v>
      </c>
      <c r="D130" s="1" t="s">
        <v>324</v>
      </c>
    </row>
    <row r="131" spans="1:4" x14ac:dyDescent="0.25">
      <c r="A131" s="1">
        <v>3.4420000000000002</v>
      </c>
      <c r="B131" s="1">
        <v>0.48694999999999999</v>
      </c>
      <c r="C131" s="1" t="s">
        <v>289</v>
      </c>
      <c r="D131" s="1" t="s">
        <v>327</v>
      </c>
    </row>
    <row r="132" spans="1:4" x14ac:dyDescent="0.25">
      <c r="A132" s="1">
        <v>6.3286699999999998</v>
      </c>
      <c r="B132" s="1">
        <v>6.8686699999999998</v>
      </c>
      <c r="C132" s="1" t="s">
        <v>314</v>
      </c>
      <c r="D132" s="1" t="s">
        <v>327</v>
      </c>
    </row>
    <row r="133" spans="1:4" x14ac:dyDescent="0.25">
      <c r="A133" s="1">
        <v>17.154789999999998</v>
      </c>
      <c r="B133" s="1">
        <v>1.7204600000000001</v>
      </c>
      <c r="C133" s="1" t="s">
        <v>238</v>
      </c>
      <c r="D133" s="1" t="s">
        <v>321</v>
      </c>
    </row>
    <row r="134" spans="1:4" x14ac:dyDescent="0.25">
      <c r="A134" s="1">
        <v>5.5234500000000004</v>
      </c>
      <c r="B134" s="1">
        <v>6.6861100000000002</v>
      </c>
      <c r="C134" s="1" t="s">
        <v>204</v>
      </c>
      <c r="D134" s="1" t="s">
        <v>324</v>
      </c>
    </row>
    <row r="135" spans="1:4" x14ac:dyDescent="0.25">
      <c r="A135" s="1">
        <v>16.154389999999999</v>
      </c>
      <c r="B135" s="1">
        <v>0.24872</v>
      </c>
      <c r="C135" s="1" t="s">
        <v>244</v>
      </c>
      <c r="D135" s="1" t="s">
        <v>321</v>
      </c>
    </row>
    <row r="136" spans="1:4" x14ac:dyDescent="0.25">
      <c r="A136" s="1">
        <v>9.1356699999999993</v>
      </c>
      <c r="B136" s="1">
        <v>0.67059999999999997</v>
      </c>
      <c r="C136" s="1" t="s">
        <v>285</v>
      </c>
      <c r="D136" s="1" t="s">
        <v>327</v>
      </c>
    </row>
    <row r="137" spans="1:4" x14ac:dyDescent="0.25">
      <c r="A137" s="1">
        <v>8.7925699999999996</v>
      </c>
      <c r="B137" s="1">
        <v>0.26151000000000002</v>
      </c>
      <c r="C137" s="1" t="s">
        <v>291</v>
      </c>
      <c r="D137" s="1" t="s">
        <v>334</v>
      </c>
    </row>
    <row r="138" spans="1:4" x14ac:dyDescent="0.25">
      <c r="A138" s="1">
        <v>0.34421000000000002</v>
      </c>
      <c r="B138" s="1">
        <v>0.28663</v>
      </c>
      <c r="C138" s="1" t="s">
        <v>294</v>
      </c>
      <c r="D138" s="1" t="s">
        <v>324</v>
      </c>
    </row>
    <row r="139" spans="1:4" x14ac:dyDescent="0.25">
      <c r="A139" s="1">
        <v>1.09253</v>
      </c>
      <c r="B139" s="1">
        <v>1.0251699999999999</v>
      </c>
      <c r="C139" s="1" t="s">
        <v>185</v>
      </c>
      <c r="D139" s="1" t="s">
        <v>324</v>
      </c>
    </row>
    <row r="140" spans="1:4" x14ac:dyDescent="0.25">
      <c r="A140" s="1">
        <v>8.7985000000000007</v>
      </c>
      <c r="B140" s="1">
        <v>13.63325</v>
      </c>
      <c r="C140" s="1" t="s">
        <v>296</v>
      </c>
      <c r="D140" s="1" t="s">
        <v>321</v>
      </c>
    </row>
    <row r="141" spans="1:4" x14ac:dyDescent="0.25">
      <c r="A141" s="1">
        <v>13.30348</v>
      </c>
      <c r="B141" s="1">
        <v>1.2968500000000001</v>
      </c>
      <c r="C141" s="1" t="s">
        <v>300</v>
      </c>
      <c r="D141" s="1" t="s">
        <v>321</v>
      </c>
    </row>
    <row r="142" spans="1:4" x14ac:dyDescent="0.25">
      <c r="A142" s="1">
        <v>20.420750000000002</v>
      </c>
      <c r="B142" s="1">
        <v>5.0545099999999996</v>
      </c>
      <c r="C142" s="1" t="s">
        <v>305</v>
      </c>
      <c r="D142" s="1" t="s">
        <v>327</v>
      </c>
    </row>
    <row r="143" spans="1:4" x14ac:dyDescent="0.25">
      <c r="A143" s="1">
        <v>7.9160899999999996</v>
      </c>
      <c r="B143" s="1">
        <v>1.2134199999999999</v>
      </c>
      <c r="C143" s="1" t="s">
        <v>299</v>
      </c>
      <c r="D143" s="1" t="s">
        <v>321</v>
      </c>
    </row>
    <row r="144" spans="1:4" x14ac:dyDescent="0.25">
      <c r="A144" s="1">
        <v>9.1758600000000001</v>
      </c>
      <c r="B144" s="1">
        <v>2.5074700000000001</v>
      </c>
      <c r="C144" s="1" t="s">
        <v>298</v>
      </c>
      <c r="D144" s="1" t="s">
        <v>327</v>
      </c>
    </row>
    <row r="145" spans="1:4" x14ac:dyDescent="0.25">
      <c r="A145" s="1">
        <v>3.4629699999999999</v>
      </c>
      <c r="B145" s="1">
        <v>1.7903199999999999</v>
      </c>
      <c r="C145" s="1" t="s">
        <v>302</v>
      </c>
      <c r="D145" s="1" t="s">
        <v>332</v>
      </c>
    </row>
    <row r="146" spans="1:4" x14ac:dyDescent="0.25">
      <c r="A146" s="1">
        <v>4.29331</v>
      </c>
      <c r="B146" s="1">
        <v>6.3175999999999997</v>
      </c>
      <c r="C146" s="1" t="s">
        <v>303</v>
      </c>
      <c r="D146" s="1" t="s">
        <v>327</v>
      </c>
    </row>
    <row r="147" spans="1:4" x14ac:dyDescent="0.25">
      <c r="A147" s="1">
        <v>5.3309699999999998</v>
      </c>
      <c r="B147" s="1">
        <v>4.1369300000000004</v>
      </c>
      <c r="C147" s="1" t="s">
        <v>304</v>
      </c>
      <c r="D147" s="1" t="s">
        <v>321</v>
      </c>
    </row>
    <row r="148" spans="1:4" x14ac:dyDescent="0.25">
      <c r="A148" s="1">
        <v>12.92577</v>
      </c>
      <c r="B148" s="1">
        <v>0.65403</v>
      </c>
      <c r="C148" s="1" t="s">
        <v>301</v>
      </c>
      <c r="D148" s="1" t="s">
        <v>321</v>
      </c>
    </row>
    <row r="149" spans="1:4" x14ac:dyDescent="0.25">
      <c r="A149" s="1">
        <v>11.068250000000001</v>
      </c>
      <c r="B149" s="1">
        <v>0.61416000000000004</v>
      </c>
      <c r="C149" s="1" t="s">
        <v>306</v>
      </c>
      <c r="D149" s="1" t="s">
        <v>327</v>
      </c>
    </row>
    <row r="150" spans="1:4" x14ac:dyDescent="0.25">
      <c r="A150" s="1">
        <v>0.64637</v>
      </c>
      <c r="B150" s="1">
        <v>0.71635000000000004</v>
      </c>
      <c r="C150" s="1" t="s">
        <v>307</v>
      </c>
      <c r="D150" s="1" t="s">
        <v>324</v>
      </c>
    </row>
    <row r="151" spans="1:4" x14ac:dyDescent="0.25">
      <c r="A151" s="1">
        <v>11.599320000000001</v>
      </c>
      <c r="B151" s="1">
        <v>21.89</v>
      </c>
      <c r="C151" s="1" t="s">
        <v>162</v>
      </c>
      <c r="D151" s="1" t="s">
        <v>321</v>
      </c>
    </row>
    <row r="152" spans="1:4" x14ac:dyDescent="0.25">
      <c r="A152" s="1">
        <v>0.23338</v>
      </c>
      <c r="B152" s="1">
        <v>0.18124000000000001</v>
      </c>
      <c r="C152" s="1" t="s">
        <v>210</v>
      </c>
      <c r="D152" s="1" t="s">
        <v>324</v>
      </c>
    </row>
    <row r="153" spans="1:4" x14ac:dyDescent="0.25">
      <c r="A153" s="1">
        <v>6.1955200000000001</v>
      </c>
      <c r="B153" s="1">
        <v>8.6438400000000009</v>
      </c>
      <c r="C153" s="1" t="s">
        <v>309</v>
      </c>
      <c r="D153" s="1" t="s">
        <v>332</v>
      </c>
    </row>
    <row r="154" spans="1:4" x14ac:dyDescent="0.25">
      <c r="A154" s="1">
        <v>12.26695</v>
      </c>
      <c r="B154" s="1">
        <v>3.07728</v>
      </c>
      <c r="C154" s="1" t="s">
        <v>308</v>
      </c>
      <c r="D154" s="1" t="s">
        <v>334</v>
      </c>
    </row>
    <row r="155" spans="1:4" x14ac:dyDescent="0.25">
      <c r="A155" s="1">
        <v>12.25522</v>
      </c>
      <c r="B155" s="1">
        <v>1.68614</v>
      </c>
      <c r="C155" s="1" t="s">
        <v>310</v>
      </c>
      <c r="D155" s="1" t="s">
        <v>321</v>
      </c>
    </row>
    <row r="156" spans="1:4" x14ac:dyDescent="0.25">
      <c r="A156" s="1">
        <v>19.38936</v>
      </c>
      <c r="B156" s="1">
        <v>14.538779999999999</v>
      </c>
      <c r="C156" s="1" t="s">
        <v>311</v>
      </c>
      <c r="D156" s="1" t="s">
        <v>334</v>
      </c>
    </row>
    <row r="157" spans="1:4" x14ac:dyDescent="0.25">
      <c r="A157" s="1">
        <v>14.52641</v>
      </c>
      <c r="B157" s="1">
        <v>0.18176999999999999</v>
      </c>
      <c r="C157" s="1" t="s">
        <v>312</v>
      </c>
      <c r="D157" s="1" t="s">
        <v>321</v>
      </c>
    </row>
    <row r="158" spans="1:4" x14ac:dyDescent="0.25">
      <c r="A158" s="1">
        <v>3.54542</v>
      </c>
      <c r="B158" s="1">
        <v>10.41907</v>
      </c>
      <c r="C158" s="1" t="s">
        <v>313</v>
      </c>
      <c r="D158" s="1" t="s">
        <v>321</v>
      </c>
    </row>
    <row r="159" spans="1:4" x14ac:dyDescent="0.25">
      <c r="A159" s="1">
        <v>6.5477400000000001</v>
      </c>
      <c r="B159" s="1">
        <v>3.4150800000000001</v>
      </c>
      <c r="C159" s="1" t="s">
        <v>315</v>
      </c>
      <c r="D159" s="1" t="s">
        <v>327</v>
      </c>
    </row>
    <row r="160" spans="1:4" x14ac:dyDescent="0.25">
      <c r="A160" s="1">
        <v>20.201170000000001</v>
      </c>
      <c r="B160" s="1">
        <v>20.598230000000001</v>
      </c>
      <c r="C160" s="1" t="s">
        <v>316</v>
      </c>
      <c r="D160" s="1" t="s">
        <v>327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07BE7-26EB-4CEB-ADD2-0921184C16BE}">
  <dimension ref="A1:F8"/>
  <sheetViews>
    <sheetView workbookViewId="0">
      <selection activeCell="B1" sqref="B1:F1"/>
    </sheetView>
  </sheetViews>
  <sheetFormatPr defaultRowHeight="14.4" x14ac:dyDescent="0.25"/>
  <cols>
    <col min="1" max="1" width="16.44140625" customWidth="1"/>
    <col min="2" max="2" width="12.77734375" customWidth="1"/>
    <col min="3" max="3" width="12.21875" customWidth="1"/>
    <col min="4" max="4" width="13.88671875" customWidth="1"/>
    <col min="5" max="5" width="16.44140625" customWidth="1"/>
    <col min="6" max="6" width="18.88671875" customWidth="1"/>
  </cols>
  <sheetData>
    <row r="1" spans="1:6" ht="16.8" x14ac:dyDescent="0.25">
      <c r="B1" s="26" t="s">
        <v>510</v>
      </c>
      <c r="C1" s="26"/>
      <c r="D1" s="26"/>
      <c r="E1" s="26"/>
      <c r="F1" s="26"/>
    </row>
    <row r="2" spans="1:6" x14ac:dyDescent="0.25">
      <c r="A2" s="1"/>
      <c r="B2" s="1" t="s">
        <v>362</v>
      </c>
      <c r="C2" s="1" t="s">
        <v>361</v>
      </c>
      <c r="D2" s="1" t="s">
        <v>451</v>
      </c>
      <c r="E2" s="1" t="s">
        <v>452</v>
      </c>
      <c r="F2" s="1" t="s">
        <v>453</v>
      </c>
    </row>
    <row r="3" spans="1:6" x14ac:dyDescent="0.25">
      <c r="A3" s="1" t="s">
        <v>460</v>
      </c>
      <c r="B3" s="1">
        <v>195.33600000000001</v>
      </c>
      <c r="C3" s="1">
        <v>330.238</v>
      </c>
      <c r="D3" s="1">
        <v>170.357</v>
      </c>
      <c r="E3" s="1">
        <v>275.13600000000002</v>
      </c>
      <c r="F3" s="1">
        <v>204.745</v>
      </c>
    </row>
    <row r="4" spans="1:6" x14ac:dyDescent="0.25">
      <c r="A4" s="1" t="s">
        <v>461</v>
      </c>
      <c r="B4" s="1">
        <v>120.413</v>
      </c>
      <c r="C4" s="1">
        <v>216.18299999999999</v>
      </c>
      <c r="D4" s="1">
        <v>74.932000000000002</v>
      </c>
      <c r="E4" s="1">
        <v>136.11600000000001</v>
      </c>
      <c r="F4" s="1">
        <v>90.706999999999994</v>
      </c>
    </row>
    <row r="5" spans="1:6" x14ac:dyDescent="0.25">
      <c r="A5" s="1" t="s">
        <v>462</v>
      </c>
      <c r="B5" s="1">
        <v>108.976</v>
      </c>
      <c r="C5" s="1">
        <v>188.363</v>
      </c>
      <c r="D5" s="1">
        <v>58.472000000000001</v>
      </c>
      <c r="E5" s="1">
        <v>106.371</v>
      </c>
      <c r="F5" s="1">
        <v>68.983999999999995</v>
      </c>
    </row>
    <row r="6" spans="1:6" x14ac:dyDescent="0.25">
      <c r="A6" s="1" t="s">
        <v>463</v>
      </c>
      <c r="B6" s="1">
        <v>87.388000000000005</v>
      </c>
      <c r="C6" s="1">
        <v>168.44900000000001</v>
      </c>
      <c r="D6" s="1">
        <v>30.672000000000001</v>
      </c>
      <c r="E6" s="1">
        <v>98.480999999999995</v>
      </c>
      <c r="F6" s="1">
        <v>58.006999999999998</v>
      </c>
    </row>
    <row r="7" spans="1:6" x14ac:dyDescent="0.25">
      <c r="A7" s="1" t="s">
        <v>464</v>
      </c>
      <c r="B7" s="1">
        <v>70.462999999999994</v>
      </c>
      <c r="C7" s="1">
        <v>140.14599999999999</v>
      </c>
      <c r="D7" s="1">
        <v>11.315</v>
      </c>
      <c r="E7" s="1">
        <v>43.435000000000002</v>
      </c>
      <c r="F7" s="1">
        <v>14.678000000000001</v>
      </c>
    </row>
    <row r="8" spans="1:6" x14ac:dyDescent="0.25">
      <c r="A8" s="1" t="s">
        <v>465</v>
      </c>
      <c r="B8" s="1">
        <v>2.177</v>
      </c>
      <c r="C8" s="1">
        <v>26.163</v>
      </c>
      <c r="D8" s="1">
        <v>3.2400000000000001E-5</v>
      </c>
      <c r="E8" s="1">
        <v>5.9599999999999997E-6</v>
      </c>
      <c r="F8" s="1">
        <v>3.9700000000000003E-5</v>
      </c>
    </row>
  </sheetData>
  <mergeCells count="1">
    <mergeCell ref="B1:F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270B8-157F-4593-BA6D-DCCF5C9E821B}">
  <dimension ref="A1:C30"/>
  <sheetViews>
    <sheetView workbookViewId="0">
      <selection activeCell="B1" sqref="B1:C1"/>
    </sheetView>
  </sheetViews>
  <sheetFormatPr defaultRowHeight="14.4" x14ac:dyDescent="0.25"/>
  <cols>
    <col min="1" max="1" width="12.109375" customWidth="1"/>
    <col min="2" max="2" width="19.88671875" customWidth="1"/>
    <col min="3" max="3" width="40.6640625" customWidth="1"/>
  </cols>
  <sheetData>
    <row r="1" spans="1:3" ht="15" customHeight="1" x14ac:dyDescent="0.25">
      <c r="B1" s="26" t="s">
        <v>511</v>
      </c>
      <c r="C1" s="26"/>
    </row>
    <row r="2" spans="1:3" x14ac:dyDescent="0.25">
      <c r="A2" s="1"/>
      <c r="B2" s="1" t="s">
        <v>466</v>
      </c>
      <c r="C2" s="1" t="s">
        <v>468</v>
      </c>
    </row>
    <row r="3" spans="1:3" x14ac:dyDescent="0.25">
      <c r="A3" s="1" t="s">
        <v>225</v>
      </c>
      <c r="B3" s="1">
        <v>535.44200000000001</v>
      </c>
      <c r="C3" s="1">
        <v>48.862200000000001</v>
      </c>
    </row>
    <row r="4" spans="1:3" x14ac:dyDescent="0.25">
      <c r="A4" s="1" t="s">
        <v>187</v>
      </c>
      <c r="B4" s="1">
        <v>299.03564999999998</v>
      </c>
      <c r="C4" s="1">
        <v>14.835240000000001</v>
      </c>
    </row>
    <row r="5" spans="1:3" x14ac:dyDescent="0.25">
      <c r="A5" s="1" t="s">
        <v>309</v>
      </c>
      <c r="B5" s="1">
        <v>204.88428999999999</v>
      </c>
      <c r="C5" s="1">
        <v>96.767690000000002</v>
      </c>
    </row>
    <row r="6" spans="1:3" x14ac:dyDescent="0.25">
      <c r="A6" s="1" t="s">
        <v>270</v>
      </c>
      <c r="B6" s="1">
        <v>134.67525000000001</v>
      </c>
      <c r="C6" s="1">
        <v>3.2086000000000001</v>
      </c>
    </row>
    <row r="7" spans="1:3" x14ac:dyDescent="0.25">
      <c r="A7" s="1" t="s">
        <v>227</v>
      </c>
      <c r="B7" s="1">
        <v>121.24254000000001</v>
      </c>
      <c r="C7" s="1">
        <v>16.75789</v>
      </c>
    </row>
    <row r="8" spans="1:3" x14ac:dyDescent="0.25">
      <c r="A8" s="1" t="s">
        <v>284</v>
      </c>
      <c r="B8" s="1">
        <v>53.284750000000003</v>
      </c>
      <c r="C8" s="1">
        <v>2.6411199999999999</v>
      </c>
    </row>
    <row r="9" spans="1:3" x14ac:dyDescent="0.25">
      <c r="A9" s="1" t="s">
        <v>249</v>
      </c>
      <c r="B9" s="1">
        <v>49.66039</v>
      </c>
      <c r="C9" s="1">
        <v>18.451699999999999</v>
      </c>
    </row>
    <row r="10" spans="1:3" x14ac:dyDescent="0.25">
      <c r="A10" s="1" t="s">
        <v>173</v>
      </c>
      <c r="B10" s="1">
        <v>44.268320000000003</v>
      </c>
      <c r="C10" s="1">
        <v>2.3430300000000002</v>
      </c>
    </row>
    <row r="11" spans="1:3" x14ac:dyDescent="0.25">
      <c r="A11" s="1" t="s">
        <v>180</v>
      </c>
      <c r="B11" s="1">
        <v>39.456180000000003</v>
      </c>
      <c r="C11" s="1">
        <v>38.911830000000002</v>
      </c>
    </row>
    <row r="12" spans="1:3" x14ac:dyDescent="0.25">
      <c r="A12" s="1" t="s">
        <v>202</v>
      </c>
      <c r="B12" s="1">
        <v>26.057860000000002</v>
      </c>
      <c r="C12" s="1">
        <v>2.3039900000000002</v>
      </c>
    </row>
    <row r="13" spans="1:3" x14ac:dyDescent="0.25">
      <c r="A13" s="1" t="s">
        <v>204</v>
      </c>
      <c r="B13" s="1">
        <v>25.693549999999998</v>
      </c>
      <c r="C13" s="1">
        <v>5.7563399999999998</v>
      </c>
    </row>
    <row r="14" spans="1:3" x14ac:dyDescent="0.25">
      <c r="A14" s="1" t="s">
        <v>163</v>
      </c>
      <c r="B14" s="1">
        <v>25.28518</v>
      </c>
      <c r="C14" s="1">
        <v>8.6886700000000001</v>
      </c>
    </row>
    <row r="15" spans="1:3" x14ac:dyDescent="0.25">
      <c r="A15" s="1" t="s">
        <v>304</v>
      </c>
      <c r="B15" s="1">
        <v>20.352150000000002</v>
      </c>
      <c r="C15" s="1">
        <v>15.267189999999999</v>
      </c>
    </row>
    <row r="16" spans="1:3" x14ac:dyDescent="0.25">
      <c r="A16" s="1" t="s">
        <v>296</v>
      </c>
      <c r="B16" s="1">
        <v>19.67259</v>
      </c>
      <c r="C16" s="1">
        <v>0.55432999999999999</v>
      </c>
    </row>
    <row r="17" spans="1:3" x14ac:dyDescent="0.25">
      <c r="A17" s="1" t="s">
        <v>159</v>
      </c>
      <c r="B17" s="1">
        <v>19.581410000000002</v>
      </c>
      <c r="C17" s="1">
        <v>3.66187</v>
      </c>
    </row>
    <row r="18" spans="1:3" x14ac:dyDescent="0.25">
      <c r="A18" s="1" t="s">
        <v>234</v>
      </c>
      <c r="B18" s="1">
        <v>16.786010000000001</v>
      </c>
      <c r="C18" s="1">
        <v>6.2591099999999997</v>
      </c>
    </row>
    <row r="19" spans="1:3" x14ac:dyDescent="0.25">
      <c r="A19" s="1" t="s">
        <v>233</v>
      </c>
      <c r="B19" s="1">
        <v>15.924530000000001</v>
      </c>
      <c r="C19" s="1">
        <v>9.8500000000000004E-2</v>
      </c>
    </row>
    <row r="20" spans="1:3" x14ac:dyDescent="0.25">
      <c r="A20" s="1" t="s">
        <v>272</v>
      </c>
      <c r="B20" s="1">
        <v>14.31114</v>
      </c>
      <c r="C20" s="1">
        <v>3.0056400000000001</v>
      </c>
    </row>
    <row r="21" spans="1:3" x14ac:dyDescent="0.25">
      <c r="A21" s="1" t="s">
        <v>311</v>
      </c>
      <c r="B21" s="1">
        <v>13.44354</v>
      </c>
      <c r="C21" s="1">
        <v>3.2805</v>
      </c>
    </row>
    <row r="22" spans="1:3" x14ac:dyDescent="0.25">
      <c r="A22" s="1" t="s">
        <v>282</v>
      </c>
      <c r="B22" s="1">
        <v>12.54382</v>
      </c>
      <c r="C22" s="1">
        <v>38.93694</v>
      </c>
    </row>
    <row r="23" spans="1:3" x14ac:dyDescent="0.25">
      <c r="A23" s="1"/>
      <c r="B23" s="1"/>
      <c r="C23" s="1"/>
    </row>
    <row r="24" spans="1:3" x14ac:dyDescent="0.25">
      <c r="A24" s="1" t="s">
        <v>467</v>
      </c>
      <c r="B24" s="1">
        <v>1895.71182</v>
      </c>
      <c r="C24" s="1">
        <v>535.87644999999998</v>
      </c>
    </row>
    <row r="25" spans="1:3" x14ac:dyDescent="0.25">
      <c r="A25" s="1" t="s">
        <v>321</v>
      </c>
      <c r="B25" s="1">
        <v>1357.4033300000001</v>
      </c>
      <c r="C25" s="1">
        <v>121.50841</v>
      </c>
    </row>
    <row r="26" spans="1:3" x14ac:dyDescent="0.25">
      <c r="A26" s="1" t="s">
        <v>332</v>
      </c>
      <c r="B26" s="1">
        <v>266.04012</v>
      </c>
      <c r="C26" s="1">
        <v>138.85577000000001</v>
      </c>
    </row>
    <row r="27" spans="1:3" x14ac:dyDescent="0.25">
      <c r="A27" s="1" t="s">
        <v>334</v>
      </c>
      <c r="B27" s="1">
        <v>108.92455</v>
      </c>
      <c r="C27" s="1">
        <v>60.271279999999997</v>
      </c>
    </row>
    <row r="28" spans="1:3" x14ac:dyDescent="0.25">
      <c r="A28" s="1" t="s">
        <v>327</v>
      </c>
      <c r="B28" s="1">
        <v>80.859110000000001</v>
      </c>
      <c r="C28" s="1">
        <v>62.716290000000001</v>
      </c>
    </row>
    <row r="29" spans="1:3" x14ac:dyDescent="0.25">
      <c r="A29" s="1" t="s">
        <v>324</v>
      </c>
      <c r="B29" s="1">
        <v>71.37518</v>
      </c>
      <c r="C29" s="1">
        <v>148.30789999999999</v>
      </c>
    </row>
    <row r="30" spans="1:3" x14ac:dyDescent="0.25">
      <c r="A30" s="1" t="s">
        <v>336</v>
      </c>
      <c r="B30" s="1">
        <v>11.109529999999999</v>
      </c>
      <c r="C30" s="1">
        <v>4.2168000000000001</v>
      </c>
    </row>
  </sheetData>
  <mergeCells count="1">
    <mergeCell ref="B1:C1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190B7-B773-4FF0-AFF8-1535411D367E}">
  <dimension ref="A1:C30"/>
  <sheetViews>
    <sheetView workbookViewId="0">
      <selection activeCell="B1" sqref="B1:C1"/>
    </sheetView>
  </sheetViews>
  <sheetFormatPr defaultRowHeight="14.4" x14ac:dyDescent="0.25"/>
  <cols>
    <col min="1" max="1" width="17.6640625" customWidth="1"/>
    <col min="2" max="2" width="18.88671875" customWidth="1"/>
    <col min="3" max="3" width="48" customWidth="1"/>
  </cols>
  <sheetData>
    <row r="1" spans="1:3" ht="16.2" x14ac:dyDescent="0.25">
      <c r="B1" s="26" t="s">
        <v>512</v>
      </c>
      <c r="C1" s="26"/>
    </row>
    <row r="2" spans="1:3" x14ac:dyDescent="0.25">
      <c r="A2" s="1"/>
      <c r="B2" s="1" t="s">
        <v>466</v>
      </c>
      <c r="C2" s="1" t="s">
        <v>468</v>
      </c>
    </row>
    <row r="3" spans="1:3" x14ac:dyDescent="0.25">
      <c r="A3" s="1" t="s">
        <v>225</v>
      </c>
      <c r="B3" s="1">
        <v>70.431110000000004</v>
      </c>
      <c r="C3" s="1">
        <v>2.7281399999999998</v>
      </c>
    </row>
    <row r="4" spans="1:3" x14ac:dyDescent="0.25">
      <c r="A4" s="1" t="s">
        <v>187</v>
      </c>
      <c r="B4" s="1">
        <v>34.954740000000001</v>
      </c>
      <c r="C4" s="1">
        <v>0.82830000000000004</v>
      </c>
    </row>
    <row r="5" spans="1:3" x14ac:dyDescent="0.25">
      <c r="A5" s="1" t="s">
        <v>309</v>
      </c>
      <c r="B5" s="1">
        <v>24.47137</v>
      </c>
      <c r="C5" s="1">
        <v>0.51071999999999995</v>
      </c>
    </row>
    <row r="6" spans="1:3" x14ac:dyDescent="0.25">
      <c r="A6" s="1" t="s">
        <v>270</v>
      </c>
      <c r="B6" s="1">
        <v>12.390560000000001</v>
      </c>
      <c r="C6" s="1">
        <v>0.17915</v>
      </c>
    </row>
    <row r="7" spans="1:3" x14ac:dyDescent="0.25">
      <c r="A7" s="1" t="s">
        <v>227</v>
      </c>
      <c r="B7" s="1">
        <v>13.24644</v>
      </c>
      <c r="C7" s="1">
        <v>0.59118000000000004</v>
      </c>
    </row>
    <row r="8" spans="1:3" x14ac:dyDescent="0.25">
      <c r="A8" s="1" t="s">
        <v>284</v>
      </c>
      <c r="B8" s="1">
        <v>6.2504799999999996</v>
      </c>
      <c r="C8" s="1">
        <v>9.3170000000000003E-2</v>
      </c>
    </row>
    <row r="9" spans="1:3" x14ac:dyDescent="0.25">
      <c r="A9" s="1" t="s">
        <v>249</v>
      </c>
      <c r="B9" s="1">
        <v>5.1903899999999998</v>
      </c>
      <c r="C9" s="1">
        <v>0.36391000000000001</v>
      </c>
    </row>
    <row r="10" spans="1:3" x14ac:dyDescent="0.25">
      <c r="A10" s="1" t="s">
        <v>173</v>
      </c>
      <c r="B10" s="1">
        <v>4.2163899999999996</v>
      </c>
      <c r="C10" s="1">
        <v>0.13081999999999999</v>
      </c>
    </row>
    <row r="11" spans="1:3" x14ac:dyDescent="0.25">
      <c r="A11" s="1" t="s">
        <v>180</v>
      </c>
      <c r="B11" s="1">
        <v>2.8630499999999999</v>
      </c>
      <c r="C11" s="1">
        <v>0.76742999999999995</v>
      </c>
    </row>
    <row r="12" spans="1:3" x14ac:dyDescent="0.25">
      <c r="A12" s="1" t="s">
        <v>202</v>
      </c>
      <c r="B12" s="1">
        <v>2.5198499999999999</v>
      </c>
      <c r="C12" s="1">
        <v>7.8079999999999997E-2</v>
      </c>
    </row>
    <row r="13" spans="1:3" x14ac:dyDescent="0.25">
      <c r="A13" s="1" t="s">
        <v>204</v>
      </c>
      <c r="B13" s="1">
        <v>2.3655900000000001</v>
      </c>
      <c r="C13" s="1">
        <v>9.1139999999999999E-2</v>
      </c>
    </row>
    <row r="14" spans="1:3" x14ac:dyDescent="0.25">
      <c r="A14" s="1" t="s">
        <v>163</v>
      </c>
      <c r="B14" s="1">
        <v>2.2504400000000002</v>
      </c>
      <c r="C14" s="1">
        <v>0.17136000000000001</v>
      </c>
    </row>
    <row r="15" spans="1:3" x14ac:dyDescent="0.25">
      <c r="A15" s="1" t="s">
        <v>304</v>
      </c>
      <c r="B15" s="1">
        <v>2.1412900000000001</v>
      </c>
      <c r="C15" s="1">
        <v>0.24173</v>
      </c>
    </row>
    <row r="16" spans="1:3" x14ac:dyDescent="0.25">
      <c r="A16" s="1" t="s">
        <v>296</v>
      </c>
      <c r="B16" s="1">
        <v>2.02413</v>
      </c>
      <c r="C16" s="1">
        <v>1.9560000000000001E-2</v>
      </c>
    </row>
    <row r="17" spans="1:3" x14ac:dyDescent="0.25">
      <c r="A17" s="1" t="s">
        <v>159</v>
      </c>
      <c r="B17" s="1">
        <v>1.7177</v>
      </c>
      <c r="C17" s="1">
        <v>0.20444999999999999</v>
      </c>
    </row>
    <row r="18" spans="1:3" x14ac:dyDescent="0.25">
      <c r="A18" s="1" t="s">
        <v>234</v>
      </c>
      <c r="B18" s="1">
        <v>1.77922</v>
      </c>
      <c r="C18" s="1">
        <v>0.34599000000000002</v>
      </c>
    </row>
    <row r="19" spans="1:3" x14ac:dyDescent="0.25">
      <c r="A19" s="1" t="s">
        <v>233</v>
      </c>
      <c r="B19" s="1">
        <v>1.5842700000000001</v>
      </c>
      <c r="C19" s="1">
        <v>5.4999999999999997E-3</v>
      </c>
    </row>
    <row r="20" spans="1:3" x14ac:dyDescent="0.25">
      <c r="A20" s="1" t="s">
        <v>272</v>
      </c>
      <c r="B20" s="1">
        <v>1.18127</v>
      </c>
      <c r="C20" s="1">
        <v>5.9279999999999999E-2</v>
      </c>
    </row>
    <row r="21" spans="1:3" x14ac:dyDescent="0.25">
      <c r="A21" s="1" t="s">
        <v>311</v>
      </c>
      <c r="B21" s="1">
        <v>1.1007800000000001</v>
      </c>
      <c r="C21" s="1">
        <v>6.4699999999999994E-2</v>
      </c>
    </row>
    <row r="22" spans="1:3" x14ac:dyDescent="0.25">
      <c r="A22" s="1" t="s">
        <v>282</v>
      </c>
      <c r="B22" s="1">
        <v>1.5244899999999999</v>
      </c>
      <c r="C22" s="1">
        <v>2.1523500000000002</v>
      </c>
    </row>
    <row r="23" spans="1:3" x14ac:dyDescent="0.25">
      <c r="A23" s="1"/>
      <c r="B23" s="1"/>
      <c r="C23" s="1"/>
    </row>
    <row r="24" spans="1:3" x14ac:dyDescent="0.25">
      <c r="A24" s="1" t="s">
        <v>467</v>
      </c>
      <c r="B24" s="1">
        <v>215.57073</v>
      </c>
      <c r="C24" s="1">
        <v>14.531409999999999</v>
      </c>
    </row>
    <row r="25" spans="1:3" x14ac:dyDescent="0.25">
      <c r="A25" s="1" t="s">
        <v>321</v>
      </c>
      <c r="B25" s="1">
        <v>159.23752999999999</v>
      </c>
      <c r="C25" s="1">
        <v>5.7018599999999999</v>
      </c>
    </row>
    <row r="26" spans="1:3" x14ac:dyDescent="0.25">
      <c r="A26" s="1" t="s">
        <v>332</v>
      </c>
      <c r="B26" s="1">
        <v>30.826000000000001</v>
      </c>
      <c r="C26" s="1">
        <v>1.1258300000000001</v>
      </c>
    </row>
    <row r="27" spans="1:3" x14ac:dyDescent="0.25">
      <c r="A27" s="1" t="s">
        <v>334</v>
      </c>
      <c r="B27" s="1">
        <v>8.8353099999999998</v>
      </c>
      <c r="C27" s="1">
        <v>1.18868</v>
      </c>
    </row>
    <row r="28" spans="1:3" x14ac:dyDescent="0.25">
      <c r="A28" s="1" t="s">
        <v>327</v>
      </c>
      <c r="B28" s="1">
        <v>8.1167999999999996</v>
      </c>
      <c r="C28" s="1">
        <v>2.1253899999999999</v>
      </c>
    </row>
    <row r="29" spans="1:3" x14ac:dyDescent="0.25">
      <c r="A29" s="1" t="s">
        <v>324</v>
      </c>
      <c r="B29" s="1">
        <v>7.5334000000000003</v>
      </c>
      <c r="C29" s="1">
        <v>4.2596299999999996</v>
      </c>
    </row>
    <row r="30" spans="1:3" x14ac:dyDescent="0.25">
      <c r="A30" s="1" t="s">
        <v>336</v>
      </c>
      <c r="B30" s="1">
        <v>1.02169</v>
      </c>
      <c r="C30" s="1">
        <v>0.13002</v>
      </c>
    </row>
  </sheetData>
  <mergeCells count="1">
    <mergeCell ref="B1:C1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87A6-1B45-4AA6-9300-5D587A160BD9}">
  <dimension ref="A1:C19"/>
  <sheetViews>
    <sheetView workbookViewId="0">
      <selection sqref="A1:C1"/>
    </sheetView>
  </sheetViews>
  <sheetFormatPr defaultRowHeight="14.4" x14ac:dyDescent="0.25"/>
  <cols>
    <col min="1" max="1" width="26.21875" customWidth="1"/>
    <col min="2" max="2" width="22.77734375" customWidth="1"/>
    <col min="3" max="3" width="35.44140625" customWidth="1"/>
  </cols>
  <sheetData>
    <row r="1" spans="1:3" ht="15.75" customHeight="1" x14ac:dyDescent="0.25">
      <c r="A1" s="27" t="s">
        <v>513</v>
      </c>
      <c r="B1" s="27"/>
      <c r="C1" s="27"/>
    </row>
    <row r="2" spans="1:3" x14ac:dyDescent="0.25">
      <c r="A2" s="1" t="s">
        <v>469</v>
      </c>
      <c r="B2" s="1" t="s">
        <v>470</v>
      </c>
      <c r="C2" s="1">
        <v>1670.2187100000001</v>
      </c>
    </row>
    <row r="3" spans="1:3" x14ac:dyDescent="0.25">
      <c r="A3" s="1" t="s">
        <v>469</v>
      </c>
      <c r="B3" s="1" t="s">
        <v>471</v>
      </c>
      <c r="C3" s="1">
        <v>196.14589000000001</v>
      </c>
    </row>
    <row r="4" spans="1:3" x14ac:dyDescent="0.25">
      <c r="A4" s="1" t="s">
        <v>470</v>
      </c>
      <c r="B4" s="1" t="s">
        <v>452</v>
      </c>
      <c r="C4" s="1">
        <v>1234.1282200000001</v>
      </c>
    </row>
    <row r="5" spans="1:3" x14ac:dyDescent="0.25">
      <c r="A5" s="1" t="s">
        <v>470</v>
      </c>
      <c r="B5" s="1" t="s">
        <v>453</v>
      </c>
      <c r="C5" s="1">
        <v>436.09048999999999</v>
      </c>
    </row>
    <row r="6" spans="1:3" x14ac:dyDescent="0.25">
      <c r="A6" s="1" t="s">
        <v>471</v>
      </c>
      <c r="B6" s="1" t="s">
        <v>472</v>
      </c>
      <c r="C6" s="1">
        <v>137.47615999999999</v>
      </c>
    </row>
    <row r="7" spans="1:3" x14ac:dyDescent="0.25">
      <c r="A7" s="1" t="s">
        <v>471</v>
      </c>
      <c r="B7" s="1" t="s">
        <v>473</v>
      </c>
      <c r="C7" s="1">
        <v>58.669730000000001</v>
      </c>
    </row>
    <row r="8" spans="1:3" x14ac:dyDescent="0.25">
      <c r="A8" s="1" t="s">
        <v>452</v>
      </c>
      <c r="B8" s="1" t="s">
        <v>474</v>
      </c>
      <c r="C8" s="1">
        <v>36.186540000000001</v>
      </c>
    </row>
    <row r="9" spans="1:3" x14ac:dyDescent="0.25">
      <c r="A9" s="1" t="s">
        <v>452</v>
      </c>
      <c r="B9" s="1" t="s">
        <v>475</v>
      </c>
      <c r="C9" s="1">
        <v>132.86176</v>
      </c>
    </row>
    <row r="10" spans="1:3" x14ac:dyDescent="0.25">
      <c r="A10" s="1" t="s">
        <v>452</v>
      </c>
      <c r="B10" s="1" t="s">
        <v>476</v>
      </c>
      <c r="C10" s="1">
        <v>1065.0799199999999</v>
      </c>
    </row>
    <row r="11" spans="1:3" x14ac:dyDescent="0.25">
      <c r="A11" s="1" t="s">
        <v>453</v>
      </c>
      <c r="B11" s="1" t="s">
        <v>477</v>
      </c>
      <c r="C11" s="1">
        <v>18.025130000000001</v>
      </c>
    </row>
    <row r="12" spans="1:3" x14ac:dyDescent="0.25">
      <c r="A12" s="1" t="s">
        <v>453</v>
      </c>
      <c r="B12" s="1" t="s">
        <v>478</v>
      </c>
      <c r="C12" s="1">
        <v>82.917900000000003</v>
      </c>
    </row>
    <row r="13" spans="1:3" x14ac:dyDescent="0.25">
      <c r="A13" s="1" t="s">
        <v>453</v>
      </c>
      <c r="B13" s="1" t="s">
        <v>479</v>
      </c>
      <c r="C13" s="1">
        <v>335.14746000000002</v>
      </c>
    </row>
    <row r="14" spans="1:3" x14ac:dyDescent="0.25">
      <c r="A14" s="1" t="s">
        <v>472</v>
      </c>
      <c r="B14" s="1" t="s">
        <v>480</v>
      </c>
      <c r="C14" s="1">
        <v>17.18167</v>
      </c>
    </row>
    <row r="15" spans="1:3" x14ac:dyDescent="0.25">
      <c r="A15" s="1" t="s">
        <v>472</v>
      </c>
      <c r="B15" s="1" t="s">
        <v>481</v>
      </c>
      <c r="C15" s="1">
        <v>120.2945</v>
      </c>
    </row>
    <row r="16" spans="1:3" x14ac:dyDescent="0.25">
      <c r="A16" s="1" t="s">
        <v>472</v>
      </c>
      <c r="B16" s="1" t="s">
        <v>482</v>
      </c>
      <c r="C16" s="1">
        <v>0</v>
      </c>
    </row>
    <row r="17" spans="1:3" x14ac:dyDescent="0.25">
      <c r="A17" s="1" t="s">
        <v>473</v>
      </c>
      <c r="B17" s="1" t="s">
        <v>483</v>
      </c>
      <c r="C17" s="1">
        <v>6.4264999999999999</v>
      </c>
    </row>
    <row r="18" spans="1:3" x14ac:dyDescent="0.25">
      <c r="A18" s="1" t="s">
        <v>473</v>
      </c>
      <c r="B18" s="1" t="s">
        <v>484</v>
      </c>
      <c r="C18" s="1">
        <v>52.243229999999997</v>
      </c>
    </row>
    <row r="19" spans="1:3" x14ac:dyDescent="0.25">
      <c r="A19" s="1" t="s">
        <v>473</v>
      </c>
      <c r="B19" s="1" t="s">
        <v>485</v>
      </c>
      <c r="C19" s="1">
        <v>0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EAB3-8EF9-4058-BFD9-A37AD7AD1609}">
  <dimension ref="A1:C19"/>
  <sheetViews>
    <sheetView workbookViewId="0">
      <selection sqref="A1:C1"/>
    </sheetView>
  </sheetViews>
  <sheetFormatPr defaultRowHeight="14.4" x14ac:dyDescent="0.25"/>
  <cols>
    <col min="1" max="1" width="27.33203125" customWidth="1"/>
    <col min="2" max="2" width="26.33203125" customWidth="1"/>
    <col min="3" max="3" width="35.33203125" customWidth="1"/>
  </cols>
  <sheetData>
    <row r="1" spans="1:3" ht="16.2" x14ac:dyDescent="0.25">
      <c r="A1" s="27" t="s">
        <v>514</v>
      </c>
      <c r="B1" s="27"/>
      <c r="C1" s="27"/>
    </row>
    <row r="2" spans="1:3" x14ac:dyDescent="0.25">
      <c r="A2" s="1" t="s">
        <v>486</v>
      </c>
      <c r="B2" s="1" t="s">
        <v>470</v>
      </c>
      <c r="C2" s="1">
        <v>193.18343999999999</v>
      </c>
    </row>
    <row r="3" spans="1:3" x14ac:dyDescent="0.25">
      <c r="A3" s="1" t="s">
        <v>486</v>
      </c>
      <c r="B3" s="1" t="s">
        <v>471</v>
      </c>
      <c r="C3" s="1">
        <v>20.45796</v>
      </c>
    </row>
    <row r="4" spans="1:3" x14ac:dyDescent="0.25">
      <c r="A4" s="1" t="s">
        <v>470</v>
      </c>
      <c r="B4" s="1" t="s">
        <v>452</v>
      </c>
      <c r="C4" s="1">
        <v>109.77227999999999</v>
      </c>
    </row>
    <row r="5" spans="1:3" x14ac:dyDescent="0.25">
      <c r="A5" s="1" t="s">
        <v>470</v>
      </c>
      <c r="B5" s="1" t="s">
        <v>453</v>
      </c>
      <c r="C5" s="1">
        <v>83.411159999999995</v>
      </c>
    </row>
    <row r="6" spans="1:3" x14ac:dyDescent="0.25">
      <c r="A6" s="1" t="s">
        <v>471</v>
      </c>
      <c r="B6" s="1" t="s">
        <v>472</v>
      </c>
      <c r="C6" s="1">
        <v>12.228120000000001</v>
      </c>
    </row>
    <row r="7" spans="1:3" x14ac:dyDescent="0.25">
      <c r="A7" s="1" t="s">
        <v>471</v>
      </c>
      <c r="B7" s="1" t="s">
        <v>473</v>
      </c>
      <c r="C7" s="1">
        <v>8.2298399999999994</v>
      </c>
    </row>
    <row r="8" spans="1:3" x14ac:dyDescent="0.25">
      <c r="A8" s="1" t="s">
        <v>452</v>
      </c>
      <c r="B8" s="1" t="s">
        <v>474</v>
      </c>
      <c r="C8" s="1">
        <v>3.2186900000000001</v>
      </c>
    </row>
    <row r="9" spans="1:3" x14ac:dyDescent="0.25">
      <c r="A9" s="1" t="s">
        <v>452</v>
      </c>
      <c r="B9" s="1" t="s">
        <v>475</v>
      </c>
      <c r="C9" s="1">
        <v>11.817679999999999</v>
      </c>
    </row>
    <row r="10" spans="1:3" x14ac:dyDescent="0.25">
      <c r="A10" s="1" t="s">
        <v>452</v>
      </c>
      <c r="B10" s="1" t="s">
        <v>476</v>
      </c>
      <c r="C10" s="1">
        <v>94.735900000000001</v>
      </c>
    </row>
    <row r="11" spans="1:3" x14ac:dyDescent="0.25">
      <c r="A11" s="1" t="s">
        <v>453</v>
      </c>
      <c r="B11" s="1" t="s">
        <v>477</v>
      </c>
      <c r="C11" s="1">
        <v>2.9629300000000001</v>
      </c>
    </row>
    <row r="12" spans="1:3" x14ac:dyDescent="0.25">
      <c r="A12" s="1" t="s">
        <v>453</v>
      </c>
      <c r="B12" s="1" t="s">
        <v>478</v>
      </c>
      <c r="C12" s="1">
        <v>13.32225</v>
      </c>
    </row>
    <row r="13" spans="1:3" x14ac:dyDescent="0.25">
      <c r="A13" s="1" t="s">
        <v>453</v>
      </c>
      <c r="B13" s="1" t="s">
        <v>479</v>
      </c>
      <c r="C13" s="1">
        <v>67.125990000000002</v>
      </c>
    </row>
    <row r="14" spans="1:3" x14ac:dyDescent="0.25">
      <c r="A14" s="1" t="s">
        <v>472</v>
      </c>
      <c r="B14" s="1" t="s">
        <v>480</v>
      </c>
      <c r="C14" s="1">
        <v>1.52826</v>
      </c>
    </row>
    <row r="15" spans="1:3" x14ac:dyDescent="0.25">
      <c r="A15" s="1" t="s">
        <v>472</v>
      </c>
      <c r="B15" s="1" t="s">
        <v>481</v>
      </c>
      <c r="C15" s="1">
        <v>10.699859999999999</v>
      </c>
    </row>
    <row r="16" spans="1:3" x14ac:dyDescent="0.25">
      <c r="A16" s="1" t="s">
        <v>472</v>
      </c>
      <c r="B16" s="1" t="s">
        <v>482</v>
      </c>
      <c r="C16" s="1">
        <v>0</v>
      </c>
    </row>
    <row r="17" spans="1:3" x14ac:dyDescent="0.25">
      <c r="A17" s="1" t="s">
        <v>473</v>
      </c>
      <c r="B17" s="1" t="s">
        <v>483</v>
      </c>
      <c r="C17" s="1">
        <v>0.84641999999999995</v>
      </c>
    </row>
    <row r="18" spans="1:3" x14ac:dyDescent="0.25">
      <c r="A18" s="1" t="s">
        <v>473</v>
      </c>
      <c r="B18" s="1" t="s">
        <v>484</v>
      </c>
      <c r="C18" s="1">
        <v>7.3834200000000001</v>
      </c>
    </row>
    <row r="19" spans="1:3" x14ac:dyDescent="0.25">
      <c r="A19" s="1" t="s">
        <v>473</v>
      </c>
      <c r="B19" s="1" t="s">
        <v>485</v>
      </c>
      <c r="C19" s="1">
        <v>0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E1F4-5616-4D8A-B2F8-E6435030E0BC}">
  <dimension ref="A1:C12"/>
  <sheetViews>
    <sheetView workbookViewId="0">
      <selection activeCell="B1" sqref="B1:C1"/>
    </sheetView>
  </sheetViews>
  <sheetFormatPr defaultRowHeight="14.4" x14ac:dyDescent="0.25"/>
  <cols>
    <col min="1" max="1" width="27.21875" customWidth="1"/>
    <col min="2" max="2" width="31.6640625" customWidth="1"/>
    <col min="3" max="3" width="37.77734375" customWidth="1"/>
  </cols>
  <sheetData>
    <row r="1" spans="1:3" s="4" customFormat="1" x14ac:dyDescent="0.25">
      <c r="B1" s="26" t="s">
        <v>515</v>
      </c>
      <c r="C1" s="26"/>
    </row>
    <row r="2" spans="1:3" x14ac:dyDescent="0.25">
      <c r="A2" s="1"/>
      <c r="B2" s="1" t="s">
        <v>487</v>
      </c>
      <c r="C2" s="1">
        <v>1895.71182</v>
      </c>
    </row>
    <row r="3" spans="1:3" x14ac:dyDescent="0.25">
      <c r="A3" s="1"/>
      <c r="B3" s="1"/>
      <c r="C3" s="1"/>
    </row>
    <row r="4" spans="1:3" x14ac:dyDescent="0.25">
      <c r="A4" s="28" t="s">
        <v>488</v>
      </c>
      <c r="B4" s="1" t="s">
        <v>362</v>
      </c>
      <c r="C4" s="1">
        <v>894.21238000000005</v>
      </c>
    </row>
    <row r="5" spans="1:3" x14ac:dyDescent="0.25">
      <c r="A5" s="28"/>
      <c r="B5" s="1" t="s">
        <v>361</v>
      </c>
      <c r="C5" s="1">
        <v>2638.5208000000002</v>
      </c>
    </row>
    <row r="6" spans="1:3" x14ac:dyDescent="0.25">
      <c r="A6" s="1"/>
      <c r="B6" s="1"/>
      <c r="C6" s="1"/>
    </row>
    <row r="7" spans="1:3" x14ac:dyDescent="0.25">
      <c r="A7" s="28" t="s">
        <v>489</v>
      </c>
      <c r="B7" s="1" t="s">
        <v>490</v>
      </c>
      <c r="C7" s="1">
        <v>930.23563000000001</v>
      </c>
    </row>
    <row r="8" spans="1:3" x14ac:dyDescent="0.25">
      <c r="A8" s="28"/>
      <c r="B8" s="1" t="s">
        <v>491</v>
      </c>
      <c r="C8" s="1">
        <v>930.23563000000001</v>
      </c>
    </row>
    <row r="9" spans="1:3" x14ac:dyDescent="0.25">
      <c r="A9" s="28"/>
      <c r="B9" s="1" t="s">
        <v>492</v>
      </c>
      <c r="C9" s="1">
        <v>930.23563000000001</v>
      </c>
    </row>
    <row r="10" spans="1:3" x14ac:dyDescent="0.25">
      <c r="A10" s="28"/>
      <c r="B10" s="1" t="s">
        <v>493</v>
      </c>
      <c r="C10" s="1">
        <v>930.23563000000001</v>
      </c>
    </row>
    <row r="11" spans="1:3" x14ac:dyDescent="0.25">
      <c r="A11" s="28"/>
      <c r="B11" s="1" t="s">
        <v>494</v>
      </c>
      <c r="C11" s="1">
        <v>930.23563000000001</v>
      </c>
    </row>
    <row r="12" spans="1:3" x14ac:dyDescent="0.25">
      <c r="A12" s="28"/>
      <c r="B12" s="1" t="s">
        <v>495</v>
      </c>
      <c r="C12" s="1">
        <v>930.23563000000001</v>
      </c>
    </row>
  </sheetData>
  <mergeCells count="3">
    <mergeCell ref="A4:A5"/>
    <mergeCell ref="A7:A12"/>
    <mergeCell ref="B1:C1"/>
  </mergeCells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A0B6-0D56-4630-8E0E-77623573C6B3}">
  <dimension ref="A1:C12"/>
  <sheetViews>
    <sheetView workbookViewId="0">
      <selection activeCell="B1" sqref="B1:C1"/>
    </sheetView>
  </sheetViews>
  <sheetFormatPr defaultRowHeight="14.4" x14ac:dyDescent="0.25"/>
  <cols>
    <col min="1" max="1" width="23.33203125" customWidth="1"/>
    <col min="2" max="2" width="30.6640625" customWidth="1"/>
    <col min="3" max="3" width="37" customWidth="1"/>
  </cols>
  <sheetData>
    <row r="1" spans="1:3" ht="16.2" x14ac:dyDescent="0.25">
      <c r="B1" s="26" t="s">
        <v>516</v>
      </c>
      <c r="C1" s="26"/>
    </row>
    <row r="2" spans="1:3" x14ac:dyDescent="0.25">
      <c r="A2" s="1"/>
      <c r="B2" s="1" t="s">
        <v>487</v>
      </c>
      <c r="C2" s="1">
        <v>215.57073</v>
      </c>
    </row>
    <row r="3" spans="1:3" x14ac:dyDescent="0.25">
      <c r="A3" s="1"/>
      <c r="B3" s="1"/>
      <c r="C3" s="1"/>
    </row>
    <row r="4" spans="1:3" x14ac:dyDescent="0.25">
      <c r="A4" s="28" t="s">
        <v>496</v>
      </c>
      <c r="B4" s="1" t="s">
        <v>362</v>
      </c>
      <c r="C4" s="1">
        <v>100.45367</v>
      </c>
    </row>
    <row r="5" spans="1:3" x14ac:dyDescent="0.25">
      <c r="A5" s="28"/>
      <c r="B5" s="1" t="s">
        <v>361</v>
      </c>
      <c r="C5" s="1">
        <v>294.95379000000003</v>
      </c>
    </row>
    <row r="6" spans="1:3" x14ac:dyDescent="0.25">
      <c r="A6" s="1"/>
      <c r="B6" s="1"/>
      <c r="C6" s="1"/>
    </row>
    <row r="7" spans="1:3" x14ac:dyDescent="0.25">
      <c r="A7" s="28" t="s">
        <v>497</v>
      </c>
      <c r="B7" s="1" t="s">
        <v>490</v>
      </c>
      <c r="C7" s="1">
        <v>174.55944</v>
      </c>
    </row>
    <row r="8" spans="1:3" x14ac:dyDescent="0.25">
      <c r="A8" s="28"/>
      <c r="B8" s="1" t="s">
        <v>491</v>
      </c>
      <c r="C8" s="1">
        <v>11.36955</v>
      </c>
    </row>
    <row r="9" spans="1:3" x14ac:dyDescent="0.25">
      <c r="A9" s="28"/>
      <c r="B9" s="1" t="s">
        <v>492</v>
      </c>
      <c r="C9" s="1">
        <v>2.84239</v>
      </c>
    </row>
    <row r="10" spans="1:3" x14ac:dyDescent="0.25">
      <c r="A10" s="28"/>
      <c r="B10" s="1" t="s">
        <v>493</v>
      </c>
      <c r="C10" s="1">
        <v>3.1007899999999999</v>
      </c>
    </row>
    <row r="11" spans="1:3" x14ac:dyDescent="0.25">
      <c r="A11" s="28"/>
      <c r="B11" s="1" t="s">
        <v>494</v>
      </c>
      <c r="C11" s="1">
        <v>5.9431700000000003</v>
      </c>
    </row>
    <row r="12" spans="1:3" x14ac:dyDescent="0.25">
      <c r="A12" s="28"/>
      <c r="B12" s="1" t="s">
        <v>495</v>
      </c>
      <c r="C12" s="1">
        <v>6.4599700000000002</v>
      </c>
    </row>
  </sheetData>
  <mergeCells count="3">
    <mergeCell ref="A4:A5"/>
    <mergeCell ref="A7:A12"/>
    <mergeCell ref="B1:C1"/>
  </mergeCells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998D-DCBB-4909-80F0-8954F6F4D058}">
  <dimension ref="A1:C11"/>
  <sheetViews>
    <sheetView workbookViewId="0">
      <selection activeCell="B1" sqref="B1:C1"/>
    </sheetView>
  </sheetViews>
  <sheetFormatPr defaultRowHeight="14.4" x14ac:dyDescent="0.25"/>
  <cols>
    <col min="1" max="1" width="19.6640625" customWidth="1"/>
    <col min="2" max="2" width="33.88671875" customWidth="1"/>
    <col min="3" max="3" width="31.109375" customWidth="1"/>
  </cols>
  <sheetData>
    <row r="1" spans="1:3" x14ac:dyDescent="0.25">
      <c r="B1" s="26" t="s">
        <v>517</v>
      </c>
      <c r="C1" s="26"/>
    </row>
    <row r="2" spans="1:3" x14ac:dyDescent="0.25">
      <c r="A2" s="1"/>
      <c r="B2" s="1" t="s">
        <v>518</v>
      </c>
      <c r="C2" s="1" t="s">
        <v>519</v>
      </c>
    </row>
    <row r="3" spans="1:3" x14ac:dyDescent="0.25">
      <c r="A3" s="1" t="s">
        <v>348</v>
      </c>
      <c r="B3" s="1">
        <v>30.644480000000001</v>
      </c>
      <c r="C3" s="1">
        <v>23.234000000000002</v>
      </c>
    </row>
    <row r="4" spans="1:3" x14ac:dyDescent="0.25">
      <c r="A4" s="1" t="s">
        <v>344</v>
      </c>
      <c r="B4" s="1">
        <v>20.757850000000001</v>
      </c>
      <c r="C4" s="1">
        <v>24.106960000000001</v>
      </c>
    </row>
    <row r="5" spans="1:3" x14ac:dyDescent="0.25">
      <c r="A5" s="1" t="s">
        <v>339</v>
      </c>
      <c r="B5" s="1">
        <v>29.860759999999999</v>
      </c>
      <c r="C5" s="1">
        <v>18.35765</v>
      </c>
    </row>
    <row r="6" spans="1:3" x14ac:dyDescent="0.25">
      <c r="A6" s="1" t="s">
        <v>329</v>
      </c>
      <c r="B6" s="1">
        <v>48.935789999999997</v>
      </c>
      <c r="C6" s="1">
        <v>40.131959999999999</v>
      </c>
    </row>
    <row r="7" spans="1:3" x14ac:dyDescent="0.25">
      <c r="A7" s="1" t="s">
        <v>346</v>
      </c>
      <c r="B7" s="1">
        <v>22.04496</v>
      </c>
      <c r="C7" s="1">
        <v>15.71199</v>
      </c>
    </row>
    <row r="8" spans="1:3" x14ac:dyDescent="0.25">
      <c r="A8" s="1" t="s">
        <v>323</v>
      </c>
      <c r="B8" s="1">
        <v>20.497540000000001</v>
      </c>
      <c r="C8" s="1">
        <v>9.43398</v>
      </c>
    </row>
    <row r="9" spans="1:3" x14ac:dyDescent="0.25">
      <c r="A9" s="1" t="s">
        <v>337</v>
      </c>
      <c r="B9" s="1">
        <v>32.487920000000003</v>
      </c>
      <c r="C9" s="1">
        <v>3.8165200000000001</v>
      </c>
    </row>
    <row r="10" spans="1:3" x14ac:dyDescent="0.25">
      <c r="A10" s="1" t="s">
        <v>331</v>
      </c>
      <c r="B10" s="1">
        <v>30.531739999999999</v>
      </c>
      <c r="C10" s="1">
        <v>18.158200000000001</v>
      </c>
    </row>
    <row r="11" spans="1:3" x14ac:dyDescent="0.25">
      <c r="A11" s="1" t="s">
        <v>326</v>
      </c>
      <c r="B11" s="1">
        <v>30.795249999999999</v>
      </c>
      <c r="C11" s="1">
        <v>29.36401</v>
      </c>
    </row>
  </sheetData>
  <mergeCells count="1">
    <mergeCell ref="B1:C1"/>
  </mergeCells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1D606-0F96-4E3D-9AF5-EB80B830522C}">
  <dimension ref="A1:D12"/>
  <sheetViews>
    <sheetView workbookViewId="0">
      <selection activeCell="B1" sqref="B1:D1"/>
    </sheetView>
  </sheetViews>
  <sheetFormatPr defaultRowHeight="14.4" x14ac:dyDescent="0.25"/>
  <cols>
    <col min="1" max="1" width="28" customWidth="1"/>
    <col min="2" max="2" width="28.88671875" customWidth="1"/>
    <col min="3" max="3" width="34.77734375" customWidth="1"/>
    <col min="4" max="4" width="29.44140625" customWidth="1"/>
  </cols>
  <sheetData>
    <row r="1" spans="1:4" ht="16.2" x14ac:dyDescent="0.25">
      <c r="B1" s="26" t="s">
        <v>520</v>
      </c>
      <c r="C1" s="26"/>
      <c r="D1" s="26"/>
    </row>
    <row r="2" spans="1:4" x14ac:dyDescent="0.25">
      <c r="A2" s="1"/>
      <c r="B2" s="1" t="s">
        <v>521</v>
      </c>
      <c r="C2" s="1" t="s">
        <v>522</v>
      </c>
      <c r="D2" s="1" t="s">
        <v>523</v>
      </c>
    </row>
    <row r="3" spans="1:4" x14ac:dyDescent="0.25">
      <c r="A3" s="1" t="s">
        <v>348</v>
      </c>
      <c r="B3" s="1">
        <v>6.6420000000000003</v>
      </c>
      <c r="C3" s="1">
        <v>93.35799999999999</v>
      </c>
      <c r="D3" s="1">
        <v>51.653000000000006</v>
      </c>
    </row>
    <row r="4" spans="1:4" x14ac:dyDescent="0.25">
      <c r="A4" s="1" t="s">
        <v>344</v>
      </c>
      <c r="B4" s="1">
        <v>22.815999999999999</v>
      </c>
      <c r="C4" s="1">
        <v>77.183999999999997</v>
      </c>
      <c r="D4" s="1">
        <v>15.312999999999999</v>
      </c>
    </row>
    <row r="5" spans="1:4" x14ac:dyDescent="0.25">
      <c r="A5" s="1" t="s">
        <v>339</v>
      </c>
      <c r="B5" s="1">
        <v>30.315999999999999</v>
      </c>
      <c r="C5" s="1">
        <v>69.683999999999997</v>
      </c>
      <c r="D5" s="1">
        <v>50.624000000000002</v>
      </c>
    </row>
    <row r="6" spans="1:4" x14ac:dyDescent="0.25">
      <c r="A6" s="1" t="s">
        <v>329</v>
      </c>
      <c r="B6" s="1">
        <v>30.97</v>
      </c>
      <c r="C6" s="1">
        <v>69.03</v>
      </c>
      <c r="D6" s="1">
        <v>66.149999999999991</v>
      </c>
    </row>
    <row r="7" spans="1:4" x14ac:dyDescent="0.25">
      <c r="A7" s="1" t="s">
        <v>346</v>
      </c>
      <c r="B7" s="1">
        <v>16.393000000000001</v>
      </c>
      <c r="C7" s="1">
        <v>83.606999999999999</v>
      </c>
      <c r="D7" s="1">
        <v>63.625</v>
      </c>
    </row>
    <row r="8" spans="1:4" x14ac:dyDescent="0.25">
      <c r="A8" s="1" t="s">
        <v>323</v>
      </c>
      <c r="B8" s="1">
        <v>14.027999999999999</v>
      </c>
      <c r="C8" s="1">
        <v>85.972000000000008</v>
      </c>
      <c r="D8" s="1">
        <v>53.152999999999992</v>
      </c>
    </row>
    <row r="9" spans="1:4" x14ac:dyDescent="0.25">
      <c r="A9" s="1" t="s">
        <v>337</v>
      </c>
      <c r="B9" s="1">
        <v>2.4750000000000001</v>
      </c>
      <c r="C9" s="1">
        <v>97.524999999999991</v>
      </c>
      <c r="D9" s="1">
        <v>41.656999999999996</v>
      </c>
    </row>
    <row r="10" spans="1:4" x14ac:dyDescent="0.25">
      <c r="A10" s="1" t="s">
        <v>331</v>
      </c>
      <c r="B10" s="1">
        <v>20.472999999999999</v>
      </c>
      <c r="C10" s="1">
        <v>79.527000000000001</v>
      </c>
      <c r="D10" s="1">
        <v>45.426000000000002</v>
      </c>
    </row>
    <row r="11" spans="1:4" x14ac:dyDescent="0.25">
      <c r="A11" s="1" t="s">
        <v>326</v>
      </c>
      <c r="B11" s="1">
        <v>20.583000000000002</v>
      </c>
      <c r="C11" s="1">
        <v>79.417000000000002</v>
      </c>
      <c r="D11" s="1">
        <v>62.687000000000005</v>
      </c>
    </row>
    <row r="12" spans="1:4" x14ac:dyDescent="0.25">
      <c r="A12" s="1" t="s">
        <v>467</v>
      </c>
      <c r="B12" s="1">
        <v>17.553000000000001</v>
      </c>
      <c r="C12" s="1">
        <v>82.447000000000003</v>
      </c>
      <c r="D12" s="1">
        <v>55.137</v>
      </c>
    </row>
  </sheetData>
  <mergeCells count="1">
    <mergeCell ref="B1:D1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6297D-1B02-4293-8EFE-780717040DD2}">
  <dimension ref="A1:E12"/>
  <sheetViews>
    <sheetView workbookViewId="0">
      <selection activeCell="B1" sqref="B1:E1"/>
    </sheetView>
  </sheetViews>
  <sheetFormatPr defaultRowHeight="14.4" x14ac:dyDescent="0.25"/>
  <cols>
    <col min="1" max="1" width="27.88671875" customWidth="1"/>
    <col min="2" max="2" width="13" customWidth="1"/>
    <col min="3" max="3" width="13.109375" customWidth="1"/>
    <col min="4" max="4" width="36.21875" customWidth="1"/>
    <col min="5" max="5" width="14.33203125" customWidth="1"/>
  </cols>
  <sheetData>
    <row r="1" spans="1:5" x14ac:dyDescent="0.25">
      <c r="B1" s="26" t="s">
        <v>524</v>
      </c>
      <c r="C1" s="26"/>
      <c r="D1" s="26"/>
      <c r="E1" s="26"/>
    </row>
    <row r="2" spans="1:5" x14ac:dyDescent="0.25">
      <c r="A2" s="1"/>
      <c r="B2" s="1" t="s">
        <v>498</v>
      </c>
      <c r="C2" s="1" t="s">
        <v>499</v>
      </c>
      <c r="D2" s="1" t="s">
        <v>500</v>
      </c>
      <c r="E2" s="1" t="s">
        <v>501</v>
      </c>
    </row>
    <row r="3" spans="1:5" x14ac:dyDescent="0.25">
      <c r="A3" s="1" t="s">
        <v>348</v>
      </c>
      <c r="B3" s="1">
        <v>20.18722</v>
      </c>
      <c r="C3" s="1">
        <v>7.4093799999999996</v>
      </c>
      <c r="D3" s="1">
        <v>5.6216900000000001</v>
      </c>
      <c r="E3" s="1">
        <v>3.2318899999999999</v>
      </c>
    </row>
    <row r="4" spans="1:5" x14ac:dyDescent="0.25">
      <c r="A4" s="1" t="s">
        <v>326</v>
      </c>
      <c r="B4" s="1">
        <v>15.31954</v>
      </c>
      <c r="C4" s="1">
        <v>6.4260299999999999</v>
      </c>
      <c r="D4" s="1">
        <v>5.1320199999999998</v>
      </c>
      <c r="E4" s="1">
        <v>2.11463</v>
      </c>
    </row>
    <row r="5" spans="1:5" x14ac:dyDescent="0.25">
      <c r="A5" s="1" t="s">
        <v>329</v>
      </c>
      <c r="B5" s="1">
        <v>2.2511299999999999</v>
      </c>
      <c r="C5" s="1">
        <v>0.82623999999999997</v>
      </c>
      <c r="D5" s="1">
        <v>3.6697600000000001</v>
      </c>
      <c r="E5" s="1">
        <v>12.764139999999999</v>
      </c>
    </row>
    <row r="6" spans="1:5" x14ac:dyDescent="0.25">
      <c r="A6" s="1" t="s">
        <v>346</v>
      </c>
      <c r="B6" s="1">
        <v>3.93249</v>
      </c>
      <c r="C6" s="1">
        <v>2.1650299999999998</v>
      </c>
      <c r="D6" s="1">
        <v>2.9403600000000001</v>
      </c>
      <c r="E6" s="1">
        <v>5.4091199999999997</v>
      </c>
    </row>
    <row r="7" spans="1:5" x14ac:dyDescent="0.25">
      <c r="A7" s="1" t="s">
        <v>502</v>
      </c>
      <c r="B7" s="1">
        <v>1.5421800000000001</v>
      </c>
      <c r="C7" s="1">
        <v>0.64688999999999997</v>
      </c>
      <c r="D7" s="1">
        <v>2.8109899999999999</v>
      </c>
      <c r="E7" s="1">
        <v>5.1888500000000004</v>
      </c>
    </row>
    <row r="8" spans="1:5" x14ac:dyDescent="0.25">
      <c r="A8" s="1" t="s">
        <v>323</v>
      </c>
      <c r="B8" s="1">
        <v>0.41388999999999998</v>
      </c>
      <c r="C8" s="1">
        <v>0.15190999999999999</v>
      </c>
      <c r="D8" s="1">
        <v>2.9746899999999998</v>
      </c>
      <c r="E8" s="1">
        <v>4.8403900000000002</v>
      </c>
    </row>
    <row r="9" spans="1:5" x14ac:dyDescent="0.25">
      <c r="A9" s="1" t="s">
        <v>337</v>
      </c>
      <c r="B9" s="1">
        <v>1.02182</v>
      </c>
      <c r="C9" s="1">
        <v>0.43391999999999997</v>
      </c>
      <c r="D9" s="1">
        <v>2.5843099999999999</v>
      </c>
      <c r="E9" s="1">
        <v>3.4201700000000002</v>
      </c>
    </row>
    <row r="10" spans="1:5" x14ac:dyDescent="0.25">
      <c r="A10" s="1" t="s">
        <v>344</v>
      </c>
      <c r="B10" s="1">
        <v>2.99532</v>
      </c>
      <c r="C10" s="1">
        <v>1.2121500000000001</v>
      </c>
      <c r="D10" s="1">
        <v>2.6040199999999998</v>
      </c>
      <c r="E10" s="1">
        <v>1.5125900000000001</v>
      </c>
    </row>
    <row r="11" spans="1:5" x14ac:dyDescent="0.25">
      <c r="A11" s="1" t="s">
        <v>331</v>
      </c>
      <c r="B11" s="1">
        <v>0.21027000000000001</v>
      </c>
      <c r="C11" s="1">
        <v>7.7179999999999999E-2</v>
      </c>
      <c r="D11" s="1">
        <v>0.54264999999999997</v>
      </c>
      <c r="E11" s="1">
        <v>6.7056699999999996</v>
      </c>
    </row>
    <row r="12" spans="1:5" x14ac:dyDescent="0.25">
      <c r="A12" s="1" t="s">
        <v>503</v>
      </c>
      <c r="B12" s="1">
        <v>5.3193200000000003</v>
      </c>
      <c r="C12" s="1">
        <v>2.1498599999999999</v>
      </c>
      <c r="D12" s="1">
        <v>3.2089400000000001</v>
      </c>
      <c r="E12" s="1">
        <v>5.0208300000000001</v>
      </c>
    </row>
  </sheetData>
  <mergeCells count="1">
    <mergeCell ref="B1:E1"/>
  </mergeCells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59B98-BEF4-4B26-BECA-FA2357771222}">
  <dimension ref="A1:H12"/>
  <sheetViews>
    <sheetView workbookViewId="0">
      <selection activeCell="B1" sqref="B1:F1"/>
    </sheetView>
  </sheetViews>
  <sheetFormatPr defaultRowHeight="14.4" x14ac:dyDescent="0.25"/>
  <cols>
    <col min="1" max="1" width="25.33203125" customWidth="1"/>
    <col min="2" max="2" width="18" customWidth="1"/>
    <col min="3" max="3" width="14.21875" customWidth="1"/>
    <col min="4" max="4" width="36.33203125" customWidth="1"/>
    <col min="5" max="5" width="17" customWidth="1"/>
    <col min="6" max="6" width="13.6640625" customWidth="1"/>
  </cols>
  <sheetData>
    <row r="1" spans="1:8" ht="16.2" x14ac:dyDescent="0.25">
      <c r="B1" s="26" t="s">
        <v>525</v>
      </c>
      <c r="C1" s="26"/>
      <c r="D1" s="26"/>
      <c r="E1" s="26"/>
      <c r="F1" s="26"/>
      <c r="H1" t="s">
        <v>505</v>
      </c>
    </row>
    <row r="2" spans="1:8" x14ac:dyDescent="0.25">
      <c r="A2" s="1"/>
      <c r="B2" s="1" t="s">
        <v>498</v>
      </c>
      <c r="C2" s="1" t="s">
        <v>499</v>
      </c>
      <c r="D2" s="1" t="s">
        <v>500</v>
      </c>
      <c r="E2" s="1" t="s">
        <v>504</v>
      </c>
      <c r="F2" s="1" t="s">
        <v>501</v>
      </c>
    </row>
    <row r="3" spans="1:8" x14ac:dyDescent="0.25">
      <c r="A3" s="1" t="s">
        <v>348</v>
      </c>
      <c r="B3" s="1">
        <v>1461.0951700000001</v>
      </c>
      <c r="C3" s="1">
        <v>703.89067</v>
      </c>
      <c r="D3" s="1">
        <v>539.50450999999998</v>
      </c>
      <c r="E3" s="1">
        <v>277.72654999999997</v>
      </c>
      <c r="F3" s="1">
        <v>341.43964999999997</v>
      </c>
    </row>
    <row r="4" spans="1:8" x14ac:dyDescent="0.25">
      <c r="A4" s="1" t="s">
        <v>326</v>
      </c>
      <c r="B4" s="1">
        <v>1066.14004</v>
      </c>
      <c r="C4" s="1">
        <v>586.99297000000001</v>
      </c>
      <c r="D4" s="1">
        <v>640.54002000000003</v>
      </c>
      <c r="E4" s="1">
        <v>293.28442999999999</v>
      </c>
      <c r="F4" s="1">
        <v>244.3348</v>
      </c>
    </row>
    <row r="5" spans="1:8" x14ac:dyDescent="0.25">
      <c r="A5" s="1" t="s">
        <v>329</v>
      </c>
      <c r="B5" s="1">
        <v>162.9308</v>
      </c>
      <c r="C5" s="1">
        <v>78.492810000000006</v>
      </c>
      <c r="D5" s="1">
        <v>362.48302999999999</v>
      </c>
      <c r="E5" s="1">
        <v>206.65978999999999</v>
      </c>
      <c r="F5" s="1">
        <v>1746.8985</v>
      </c>
    </row>
    <row r="6" spans="1:8" x14ac:dyDescent="0.25">
      <c r="A6" s="1" t="s">
        <v>346</v>
      </c>
      <c r="B6" s="1">
        <v>284.62252000000001</v>
      </c>
      <c r="C6" s="1">
        <v>205.67770999999999</v>
      </c>
      <c r="D6" s="1">
        <v>359.67232999999999</v>
      </c>
      <c r="E6" s="1">
        <v>242.13188</v>
      </c>
      <c r="F6" s="1">
        <v>581.94938000000002</v>
      </c>
    </row>
    <row r="7" spans="1:8" x14ac:dyDescent="0.25">
      <c r="A7" s="1" t="s">
        <v>502</v>
      </c>
      <c r="B7" s="1">
        <v>111.61881</v>
      </c>
      <c r="C7" s="1">
        <v>61.454830000000001</v>
      </c>
      <c r="D7" s="1">
        <v>210.98901000000001</v>
      </c>
      <c r="E7" s="1">
        <v>517.92312000000004</v>
      </c>
      <c r="F7" s="1">
        <v>486.91842000000003</v>
      </c>
    </row>
    <row r="8" spans="1:8" x14ac:dyDescent="0.25">
      <c r="A8" s="1" t="s">
        <v>323</v>
      </c>
      <c r="B8" s="1">
        <v>29.956009999999999</v>
      </c>
      <c r="C8" s="1">
        <v>14.431469999999999</v>
      </c>
      <c r="D8" s="1">
        <v>257.89143000000001</v>
      </c>
      <c r="E8" s="1">
        <v>168.0033</v>
      </c>
      <c r="F8" s="1">
        <v>490.22854000000001</v>
      </c>
    </row>
    <row r="9" spans="1:8" x14ac:dyDescent="0.25">
      <c r="A9" s="1" t="s">
        <v>337</v>
      </c>
      <c r="B9" s="1">
        <v>73.956540000000004</v>
      </c>
      <c r="C9" s="1">
        <v>41.222450000000002</v>
      </c>
      <c r="D9" s="1">
        <v>251.50262000000001</v>
      </c>
      <c r="E9" s="1">
        <v>114.76681000000001</v>
      </c>
      <c r="F9" s="1">
        <v>377.87754999999999</v>
      </c>
    </row>
    <row r="10" spans="1:8" x14ac:dyDescent="0.25">
      <c r="A10" s="1" t="s">
        <v>344</v>
      </c>
      <c r="B10" s="1">
        <v>216.79276999999999</v>
      </c>
      <c r="C10" s="1">
        <v>115.15472</v>
      </c>
      <c r="D10" s="1">
        <v>324.73599999999999</v>
      </c>
      <c r="E10" s="1">
        <v>106.54929</v>
      </c>
      <c r="F10" s="1">
        <v>166.08875</v>
      </c>
    </row>
    <row r="11" spans="1:8" x14ac:dyDescent="0.25">
      <c r="A11" s="1" t="s">
        <v>331</v>
      </c>
      <c r="B11" s="1">
        <v>15.219099999999999</v>
      </c>
      <c r="C11" s="1">
        <v>7.3318899999999996</v>
      </c>
      <c r="D11" s="1">
        <v>66.540049999999994</v>
      </c>
      <c r="E11" s="1">
        <v>11.56818</v>
      </c>
      <c r="F11" s="1">
        <v>660.17557999999997</v>
      </c>
    </row>
    <row r="12" spans="1:8" x14ac:dyDescent="0.25">
      <c r="A12" s="1" t="s">
        <v>503</v>
      </c>
      <c r="B12" s="1">
        <v>380.25907999999998</v>
      </c>
      <c r="C12" s="1">
        <v>201.62772000000001</v>
      </c>
      <c r="D12" s="1">
        <v>334.87322</v>
      </c>
      <c r="E12" s="1">
        <v>215.40147999999999</v>
      </c>
      <c r="F12" s="1">
        <v>566.21235000000001</v>
      </c>
    </row>
  </sheetData>
  <mergeCells count="1">
    <mergeCell ref="B1:F1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</vt:i4>
      </vt:variant>
      <vt:variant>
        <vt:lpstr>命名范围</vt:lpstr>
      </vt:variant>
      <vt:variant>
        <vt:i4>1</vt:i4>
      </vt:variant>
    </vt:vector>
  </HeadingPairs>
  <TitlesOfParts>
    <vt:vector size="16" baseType="lpstr">
      <vt:lpstr>Sheet1</vt:lpstr>
      <vt:lpstr>Fig1a</vt:lpstr>
      <vt:lpstr>Fig1b</vt:lpstr>
      <vt:lpstr>Fig1c</vt:lpstr>
      <vt:lpstr>Fig1d</vt:lpstr>
      <vt:lpstr>Fig2a</vt:lpstr>
      <vt:lpstr>Fig2b</vt:lpstr>
      <vt:lpstr>Fig3a</vt:lpstr>
      <vt:lpstr>Fig3b</vt:lpstr>
      <vt:lpstr>Fig4a</vt:lpstr>
      <vt:lpstr>Fig4b</vt:lpstr>
      <vt:lpstr>Fig5a</vt:lpstr>
      <vt:lpstr>Fig5b</vt:lpstr>
      <vt:lpstr>Fig6a</vt:lpstr>
      <vt:lpstr>Fig6b</vt:lpstr>
      <vt:lpstr>Fig5a!_Hlk151127334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2026-05-26T02:06:05Z</dcterms:modified>
</cp:coreProperties>
</file>